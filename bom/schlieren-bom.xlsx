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Summary" sheetId="2" state="visible" r:id="rId2"/>
  </sheets>
  <definedNames>
    <definedName name="_xlnm._FilterDatabase" localSheetId="0" hidden="1">'BOM'!$A$1:$L$151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  <dxf>
      <border>
        <top style="medium">
          <color rgb="FF808080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1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Subsystem</t>
        </is>
      </c>
      <c r="C1" s="1" t="inlineStr">
        <is>
          <t>Qty</t>
        </is>
      </c>
      <c r="D1" s="1" t="inlineStr">
        <is>
          <t>Item</t>
        </is>
      </c>
      <c r="E1" s="1" t="inlineStr">
        <is>
          <t>Purpose</t>
        </is>
      </c>
      <c r="F1" s="1" t="inlineStr">
        <is>
          <t>Vendor</t>
        </is>
      </c>
      <c r="G1" s="1" t="inlineStr">
        <is>
          <t>SKU</t>
        </is>
      </c>
      <c r="H1" s="1" t="inlineStr">
        <is>
          <t>Pkg Size</t>
        </is>
      </c>
      <c r="I1" s="1" t="inlineStr">
        <is>
          <t>Purchase Unit</t>
        </is>
      </c>
      <c r="J1" s="1" t="inlineStr">
        <is>
          <t>Procurement state</t>
        </is>
      </c>
      <c r="K1" s="1" t="inlineStr">
        <is>
          <t>Source section</t>
        </is>
      </c>
      <c r="L1" s="1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§5.2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§5.2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§5.2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CAD ready</t>
        </is>
      </c>
      <c r="K23" t="inlineStr">
        <is>
          <t>§5.2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LGT-012</t>
        </is>
      </c>
      <c r="B33" t="inlineStr">
        <is>
          <t>Light source</t>
        </is>
      </c>
      <c r="C33" t="n">
        <v>4</v>
      </c>
      <c r="D33" t="inlineStr">
        <is>
          <t>M2 nylon washers</t>
        </is>
      </c>
      <c r="E33" t="inlineStr">
        <is>
          <t>LED insulating washers</t>
        </is>
      </c>
      <c r="F33" t="inlineStr">
        <is>
          <t>McMaster</t>
        </is>
      </c>
      <c r="G33" t="inlineStr">
        <is>
          <t>91545A410</t>
        </is>
      </c>
      <c r="I33" t="inlineStr">
        <is>
          <t>pack</t>
        </is>
      </c>
      <c r="J33" t="inlineStr">
        <is>
          <t>In hand</t>
        </is>
      </c>
      <c r="K33" t="inlineStr">
        <is>
          <t>§6.4</t>
        </is>
      </c>
    </row>
    <row r="34">
      <c r="A34" t="inlineStr">
        <is>
          <t>LGT-013</t>
        </is>
      </c>
      <c r="B34" t="inlineStr">
        <is>
          <t>Light source</t>
        </is>
      </c>
      <c r="C34" t="n">
        <v>1</v>
      </c>
      <c r="D34" t="inlineStr">
        <is>
          <t>ALIENTEK DP100 DC Power Supply Variable, 30V 5A</t>
        </is>
      </c>
      <c r="E34" t="inlineStr">
        <is>
          <t>LED CC/CV power supply</t>
        </is>
      </c>
      <c r="F34" t="inlineStr">
        <is>
          <t>Amazon</t>
        </is>
      </c>
      <c r="G34" t="inlineStr">
        <is>
          <t>B0CWRG6YFM</t>
        </is>
      </c>
      <c r="H34" t="n">
        <v>1</v>
      </c>
      <c r="I34" t="inlineStr">
        <is>
          <t>each</t>
        </is>
      </c>
      <c r="J34" t="inlineStr">
        <is>
          <t>In hand</t>
        </is>
      </c>
      <c r="K34" t="inlineStr">
        <is>
          <t>§6.5</t>
        </is>
      </c>
    </row>
    <row r="35">
      <c r="A35" t="inlineStr">
        <is>
          <t>LGT-014</t>
        </is>
      </c>
      <c r="B35" t="inlineStr">
        <is>
          <t>Light source</t>
        </is>
      </c>
      <c r="C35" t="n">
        <v>2</v>
      </c>
      <c r="D35" t="inlineStr">
        <is>
          <t>Cable Assembly, Micro-Fit 3.0 P-S 2ckt 150 mm</t>
        </is>
      </c>
      <c r="E35" t="inlineStr">
        <is>
          <t>LED pigtails</t>
        </is>
      </c>
      <c r="F35" t="inlineStr">
        <is>
          <t>Mouser</t>
        </is>
      </c>
      <c r="G35" t="inlineStr">
        <is>
          <t>538-214758-1021</t>
        </is>
      </c>
      <c r="H35" t="n">
        <v>2</v>
      </c>
      <c r="I35" t="inlineStr">
        <is>
          <t>each</t>
        </is>
      </c>
      <c r="J35" t="inlineStr">
        <is>
          <t>In hand</t>
        </is>
      </c>
      <c r="K35" t="inlineStr">
        <is>
          <t>§6.5</t>
        </is>
      </c>
    </row>
    <row r="36">
      <c r="A36" t="inlineStr">
        <is>
          <t>LGT-015</t>
        </is>
      </c>
      <c r="B36" t="inlineStr">
        <is>
          <t>Light source</t>
        </is>
      </c>
      <c r="C36" t="n">
        <v>1</v>
      </c>
      <c r="D36" t="inlineStr">
        <is>
          <t>Cable Assembly, Micro-Fit 3.0 R-S 2ckt 600MM</t>
        </is>
      </c>
      <c r="E36" t="inlineStr">
        <is>
          <t>Power supply pigtail</t>
        </is>
      </c>
      <c r="F36" t="inlineStr">
        <is>
          <t>Mouser</t>
        </is>
      </c>
      <c r="G36" t="inlineStr">
        <is>
          <t>538-214756-1023</t>
        </is>
      </c>
      <c r="H36" t="n">
        <v>2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LGT-016</t>
        </is>
      </c>
      <c r="B37" t="inlineStr">
        <is>
          <t>Light source</t>
        </is>
      </c>
      <c r="C37" t="n">
        <v>1</v>
      </c>
      <c r="D37" t="inlineStr">
        <is>
          <t>Banana plug set 1 blk 1 red</t>
        </is>
      </c>
      <c r="E37" t="inlineStr">
        <is>
          <t>DP100 connection</t>
        </is>
      </c>
      <c r="F37" t="inlineStr">
        <is>
          <t>Mouser</t>
        </is>
      </c>
      <c r="G37" t="inlineStr">
        <is>
          <t>565-1825-02</t>
        </is>
      </c>
      <c r="H37" t="n">
        <v>1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LGT-017</t>
        </is>
      </c>
      <c r="B38" t="inlineStr">
        <is>
          <t>Light source</t>
        </is>
      </c>
      <c r="C38" t="n">
        <v>2</v>
      </c>
      <c r="D38" t="inlineStr">
        <is>
          <t>SM1 end cap, external threads, with center drill mark, anodized aluminum</t>
        </is>
      </c>
      <c r="E38" t="inlineStr">
        <is>
          <t>LED carrier: board on front face, threads into condenser SMR1/M</t>
        </is>
      </c>
      <c r="F38" t="inlineStr">
        <is>
          <t>Thorlabs</t>
        </is>
      </c>
      <c r="G38" t="inlineStr">
        <is>
          <t>SM1CP2M</t>
        </is>
      </c>
      <c r="H38" t="n">
        <v>1</v>
      </c>
      <c r="I38" t="inlineStr">
        <is>
          <t>each</t>
        </is>
      </c>
      <c r="J38" t="inlineStr">
        <is>
          <t>In hand</t>
        </is>
      </c>
      <c r="K38" t="inlineStr">
        <is>
          <t>§6.2</t>
        </is>
      </c>
      <c r="L38" t="inlineStr">
        <is>
          <t>One per LED module. Drill/tap, all through holes (§6.4): M2 board holes, M3 heatsink holes, lead pass-through holes at r = 11.0 mm.</t>
        </is>
      </c>
    </row>
    <row r="39">
      <c r="A39" t="inlineStr">
        <is>
          <t>LGT-018</t>
        </is>
      </c>
      <c r="B39" t="inlineStr">
        <is>
          <t>Light source</t>
        </is>
      </c>
      <c r="C39" t="n">
        <v>2</v>
      </c>
      <c r="D39" t="inlineStr">
        <is>
          <t>Alpha CN40-40B natural-convection pin-fin heatsink, Ø40 × 40 mm, black anodized</t>
        </is>
      </c>
      <c r="E39" t="inlineStr">
        <is>
          <t>LED module heatsink</t>
        </is>
      </c>
      <c r="F39" t="inlineStr">
        <is>
          <t>Luxeon Star LEDs</t>
        </is>
      </c>
      <c r="G39" t="inlineStr">
        <is>
          <t>CN40-40B</t>
        </is>
      </c>
      <c r="H39" t="n">
        <v>3</v>
      </c>
      <c r="I39" t="inlineStr">
        <is>
          <t>each</t>
        </is>
      </c>
      <c r="J39" t="inlineStr">
        <is>
          <t>In hand</t>
        </is>
      </c>
      <c r="K39" t="inlineStr">
        <is>
          <t>§6.3</t>
        </is>
      </c>
      <c r="L39" t="inlineStr">
        <is>
          <t>One per LED module; bolted to SM1CP2M rear. Drill base for M3 screws in open pin cells and for leads. Three ordered and received; one spare.</t>
        </is>
      </c>
    </row>
    <row r="40">
      <c r="A40" t="inlineStr">
        <is>
          <t>LGT-019</t>
        </is>
      </c>
      <c r="B40" t="inlineStr">
        <is>
          <t>Light source</t>
        </is>
      </c>
      <c r="C40" t="n">
        <v>6</v>
      </c>
      <c r="D40" t="inlineStr">
        <is>
          <t>M3 × 0.5 × 6 mm socket head screw, 18-8 SS</t>
        </is>
      </c>
      <c r="E40" t="inlineStr">
        <is>
          <t>Heatsink-to-cap fasteners</t>
        </is>
      </c>
      <c r="F40" t="inlineStr">
        <is>
          <t>McMaster</t>
        </is>
      </c>
      <c r="G40" t="inlineStr">
        <is>
          <t>91292A111</t>
        </is>
      </c>
      <c r="H40" t="n">
        <v>100</v>
      </c>
      <c r="I40" t="inlineStr">
        <is>
          <t>pack</t>
        </is>
      </c>
      <c r="J40" t="inlineStr">
        <is>
          <t>In hand</t>
        </is>
      </c>
      <c r="K40" t="inlineStr">
        <is>
          <t>§§6.2, 6.4</t>
        </is>
      </c>
      <c r="L40" t="inlineStr">
        <is>
          <t>Three per module. Provisional length (3 mm base + ~3 mm thread into the through-tapped cap; shorter than the cap thickness). Same series as the common 12 mm screw.</t>
        </is>
      </c>
    </row>
    <row r="41">
      <c r="A41" t="inlineStr">
        <is>
          <t>LGT-020</t>
        </is>
      </c>
      <c r="B41" t="inlineStr">
        <is>
          <t>Light source</t>
        </is>
      </c>
      <c r="C41" t="n">
        <v>4</v>
      </c>
      <c r="D41" t="inlineStr">
        <is>
          <t>M2 × 6 mm button head hex-drive screw 18-8 SS</t>
        </is>
      </c>
      <c r="E41" t="inlineStr">
        <is>
          <t>LED board mounting screws, tapped into SM1CP2M cap</t>
        </is>
      </c>
      <c r="F41" t="inlineStr">
        <is>
          <t>McMaster</t>
        </is>
      </c>
      <c r="G41" t="inlineStr">
        <is>
          <t>92095A453</t>
        </is>
      </c>
      <c r="H41" t="n">
        <v>25</v>
      </c>
      <c r="I41" t="inlineStr">
        <is>
          <t>pack</t>
        </is>
      </c>
      <c r="J41" t="inlineStr">
        <is>
          <t>In hand</t>
        </is>
      </c>
      <c r="K41" t="inlineStr">
        <is>
          <t>§6.4</t>
        </is>
      </c>
      <c r="L41" t="inlineStr">
        <is>
          <t>6 mm length fits better than the 5 mm screw UNU-012.</t>
        </is>
      </c>
    </row>
    <row r="42">
      <c r="A42" t="inlineStr">
        <is>
          <t>LGT-021</t>
        </is>
      </c>
      <c r="B42" t="inlineStr">
        <is>
          <t>Light source</t>
        </is>
      </c>
      <c r="C42" t="n">
        <v>4</v>
      </c>
      <c r="D42" t="inlineStr">
        <is>
          <t>Nylon plastic washer for M2, 2.2 mm ID × 5.0 mm OD, off-white</t>
        </is>
      </c>
      <c r="E42" t="inlineStr">
        <is>
          <t>LED insulating washers</t>
        </is>
      </c>
      <c r="F42" t="inlineStr">
        <is>
          <t>McMaster</t>
        </is>
      </c>
      <c r="G42" t="inlineStr">
        <is>
          <t>95610A110</t>
        </is>
      </c>
      <c r="H42" t="n">
        <v>100</v>
      </c>
      <c r="I42" t="inlineStr">
        <is>
          <t>pack</t>
        </is>
      </c>
      <c r="J42" t="inlineStr">
        <is>
          <t>In hand</t>
        </is>
      </c>
      <c r="K42" t="inlineStr">
        <is>
          <t>§6.4</t>
        </is>
      </c>
      <c r="L42" t="inlineStr">
        <is>
          <t>Alternative to LGT-012.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Flat bearing inserts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§7.7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CAS-007: three blades allocated (two in the slit head, one in a cutoff cassette); 97 spare.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CAR-002</t>
        </is>
      </c>
      <c r="B55" t="inlineStr">
        <is>
          <t>Carriages</t>
        </is>
      </c>
      <c r="C55" t="n">
        <v>1</v>
      </c>
      <c r="D55" t="inlineStr">
        <is>
          <t>Slip ring for SM1 lens tubes, M4 Tap</t>
        </is>
      </c>
      <c r="E55" t="inlineStr">
        <is>
          <t>Post attachment</t>
        </is>
      </c>
      <c r="F55" t="inlineStr">
        <is>
          <t>Thorlabs</t>
        </is>
      </c>
      <c r="G55" t="inlineStr">
        <is>
          <t>SM1RC/M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K55" t="inlineStr">
        <is>
          <t>§8.1</t>
        </is>
      </c>
      <c r="L55" t="inlineStr">
        <is>
          <t>Cutoff carriage. The second in-hand ring is allocated to the slit head (SLT-001).</t>
        </is>
      </c>
    </row>
    <row r="56">
      <c r="A56" t="inlineStr">
        <is>
          <t>CAR-005</t>
        </is>
      </c>
      <c r="B56" t="inlineStr">
        <is>
          <t>Carriages</t>
        </is>
      </c>
      <c r="C56" t="n">
        <v>1</v>
      </c>
      <c r="D56" t="inlineStr">
        <is>
          <t>Fine adjustment screw with knob, 1/4"-80, 1.00" long</t>
        </is>
      </c>
      <c r="E56" t="inlineStr">
        <is>
          <t>Cassette positioner</t>
        </is>
      </c>
      <c r="F56" t="inlineStr">
        <is>
          <t>Thorlabs</t>
        </is>
      </c>
      <c r="G56" t="inlineStr">
        <is>
          <t>FAS100</t>
        </is>
      </c>
      <c r="H56" t="n">
        <v>3</v>
      </c>
      <c r="I56" t="inlineStr">
        <is>
          <t>each</t>
        </is>
      </c>
      <c r="J56" t="inlineStr">
        <is>
          <t>In hand</t>
        </is>
      </c>
      <c r="K56" t="inlineStr">
        <is>
          <t>§8.3</t>
        </is>
      </c>
      <c r="L56" t="inlineStr">
        <is>
          <t>Three in hand: one for the cutoff carriage, two for the slit head (SLT-002); no spare.</t>
        </is>
      </c>
    </row>
    <row r="57">
      <c r="A57" t="inlineStr">
        <is>
          <t>CAR-006</t>
        </is>
      </c>
      <c r="B57" t="inlineStr">
        <is>
          <t>Carriages</t>
        </is>
      </c>
      <c r="C57" t="n">
        <v>1</v>
      </c>
      <c r="D57" t="inlineStr">
        <is>
          <t>Compression springs</t>
        </is>
      </c>
      <c r="E57" t="inlineStr">
        <is>
          <t>Cassette counter-force plunger</t>
        </is>
      </c>
      <c r="F57" t="inlineStr">
        <is>
          <t>McMaster</t>
        </is>
      </c>
      <c r="G57" t="inlineStr">
        <is>
          <t>2006N292</t>
        </is>
      </c>
      <c r="H57" t="n">
        <v>5</v>
      </c>
      <c r="I57" t="inlineStr">
        <is>
          <t>pack</t>
        </is>
      </c>
      <c r="J57" t="inlineStr">
        <is>
          <t>In hand</t>
        </is>
      </c>
      <c r="K57" t="inlineStr">
        <is>
          <t>§8.3</t>
        </is>
      </c>
      <c r="L57" t="inlineStr">
        <is>
          <t>Shared 5-pack with the slit-head preload spring (SLT-004).</t>
        </is>
      </c>
    </row>
    <row r="58">
      <c r="A58" t="inlineStr">
        <is>
          <t>CAR-007</t>
        </is>
      </c>
      <c r="B58" t="inlineStr">
        <is>
          <t>Carriages</t>
        </is>
      </c>
      <c r="C58" t="n">
        <v>1</v>
      </c>
      <c r="D58" t="inlineStr">
        <is>
          <t>1/4 in-80 inserts</t>
        </is>
      </c>
      <c r="E58" t="inlineStr">
        <is>
          <t>Cassette positioner</t>
        </is>
      </c>
      <c r="F58" t="inlineStr">
        <is>
          <t>McMaster</t>
        </is>
      </c>
      <c r="G58" t="inlineStr">
        <is>
          <t>98625A950</t>
        </is>
      </c>
      <c r="H58" t="n">
        <v>3</v>
      </c>
      <c r="I58" t="inlineStr">
        <is>
          <t>each</t>
        </is>
      </c>
      <c r="J58" t="inlineStr">
        <is>
          <t>In hand</t>
        </is>
      </c>
      <c r="K58" t="inlineStr">
        <is>
          <t>§8.3</t>
        </is>
      </c>
      <c r="L58" t="inlineStr">
        <is>
          <t>Three in hand: one for the cutoff carriage, two for the slit head (SLT-003); no spare.</t>
        </is>
      </c>
    </row>
    <row r="59">
      <c r="A59" t="inlineStr">
        <is>
          <t>CAR-009</t>
        </is>
      </c>
      <c r="B59" t="inlineStr">
        <is>
          <t>Carriages</t>
        </is>
      </c>
      <c r="C59" t="n">
        <v>3</v>
      </c>
      <c r="D59" t="inlineStr">
        <is>
          <t>Brass escutcheon pins</t>
        </is>
      </c>
      <c r="E59" t="inlineStr">
        <is>
          <t>Cassette interface datums</t>
        </is>
      </c>
      <c r="F59" t="inlineStr">
        <is>
          <t>McMaster</t>
        </is>
      </c>
      <c r="G59" t="inlineStr">
        <is>
          <t>97936A109</t>
        </is>
      </c>
      <c r="H59" t="n">
        <v>300</v>
      </c>
      <c r="I59" t="inlineStr">
        <is>
          <t>pack</t>
        </is>
      </c>
      <c r="J59" t="inlineStr">
        <is>
          <t>In hand</t>
        </is>
      </c>
      <c r="K59" t="inlineStr">
        <is>
          <t>§8.4</t>
        </is>
      </c>
      <c r="L59" t="inlineStr">
        <is>
          <t>Cutoff carriage only.</t>
        </is>
      </c>
    </row>
    <row r="60">
      <c r="A60" t="inlineStr">
        <is>
          <t>CAR-010</t>
        </is>
      </c>
      <c r="B60" t="inlineStr">
        <is>
          <t>Carriages</t>
        </is>
      </c>
      <c r="C60" t="n">
        <v>1</v>
      </c>
      <c r="D60" t="inlineStr">
        <is>
          <t>PLA printed carriage bodies</t>
        </is>
      </c>
      <c r="J60" t="inlineStr">
        <is>
          <t>CAD ready</t>
        </is>
      </c>
      <c r="K60" t="inlineStr">
        <is>
          <t>§8.1</t>
        </is>
      </c>
      <c r="L60" t="inlineStr">
        <is>
          <t>Cutoff carriage only.</t>
        </is>
      </c>
    </row>
    <row r="61">
      <c r="A61" t="inlineStr">
        <is>
          <t>CAR-012</t>
        </is>
      </c>
      <c r="B61" t="inlineStr">
        <is>
          <t>Carriages</t>
        </is>
      </c>
      <c r="C61" t="n">
        <v>1</v>
      </c>
      <c r="D61" t="inlineStr">
        <is>
          <t>N52 Bar Magnet - 10mm L x 5mm W x 2mm H</t>
        </is>
      </c>
      <c r="E61" t="inlineStr">
        <is>
          <t>Flat bearing inserts for FAS100-driven plungers</t>
        </is>
      </c>
      <c r="F61" t="inlineStr">
        <is>
          <t>Amazon</t>
        </is>
      </c>
      <c r="G61" t="inlineStr">
        <is>
          <t>B0DMCY4FN1</t>
        </is>
      </c>
      <c r="H61" t="n">
        <v>120</v>
      </c>
      <c r="I61" t="inlineStr">
        <is>
          <t>pack</t>
        </is>
      </c>
      <c r="J61" t="inlineStr">
        <is>
          <t>In hand</t>
        </is>
      </c>
      <c r="K61" t="inlineStr">
        <is>
          <t>§8.3</t>
        </is>
      </c>
      <c r="L61" t="inlineStr">
        <is>
          <t>Nickel-plated rectangular magnets; one flat bearing insert for the FAS100-driven PLA plunger of the cutoff carriage.</t>
        </is>
      </c>
    </row>
    <row r="62">
      <c r="A62" t="inlineStr">
        <is>
          <t>CAR-013</t>
        </is>
      </c>
      <c r="B62" t="inlineStr">
        <is>
          <t>Carriages</t>
        </is>
      </c>
      <c r="C62" t="n">
        <v>1</v>
      </c>
      <c r="D62" t="inlineStr">
        <is>
          <t>PLA printed open-center keeper frames</t>
        </is>
      </c>
      <c r="E62" t="inlineStr">
        <is>
          <t>Retain plunger guide ears while leaving cassette-loading aperture open</t>
        </is>
      </c>
      <c r="J62" t="inlineStr">
        <is>
          <t>CAD ready</t>
        </is>
      </c>
      <c r="K62" t="inlineStr">
        <is>
          <t>§8.4</t>
        </is>
      </c>
      <c r="L62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3">
      <c r="A63" t="inlineStr">
        <is>
          <t>CAR-014</t>
        </is>
      </c>
      <c r="B63" t="inlineStr">
        <is>
          <t>Carriages</t>
        </is>
      </c>
      <c r="C63" t="n">
        <v>8</v>
      </c>
      <c r="D63" t="inlineStr">
        <is>
          <t>M3 × 12 mm socket head screw, 18-8 SS</t>
        </is>
      </c>
      <c r="E63" t="inlineStr">
        <is>
          <t>Keeper-frame fasteners (four end + four side)</t>
        </is>
      </c>
      <c r="F63" t="inlineStr">
        <is>
          <t>McMaster</t>
        </is>
      </c>
      <c r="G63" t="inlineStr">
        <is>
          <t>91292A114</t>
        </is>
      </c>
      <c r="H63" t="n">
        <v>100</v>
      </c>
      <c r="I63" t="inlineStr">
        <is>
          <t>pack</t>
        </is>
      </c>
      <c r="J63" t="inlineStr">
        <is>
          <t>In hand</t>
        </is>
      </c>
      <c r="K63" t="inlineStr">
        <is>
          <t>§8.4</t>
        </is>
      </c>
      <c r="L63" t="inlineStr">
        <is>
          <t>Reuse common M3 × 12 mm stock. Heads bear directly on PLA in ~0.5 mm recesses; tighten only to a light snug.</t>
        </is>
      </c>
    </row>
    <row r="64">
      <c r="A64" t="inlineStr">
        <is>
          <t>CAR-015</t>
        </is>
      </c>
      <c r="B64" t="inlineStr">
        <is>
          <t>Carriages</t>
        </is>
      </c>
      <c r="C64" t="n">
        <v>8</v>
      </c>
      <c r="D64" t="inlineStr">
        <is>
          <t>M3 × 0.5 hex nut, 18-8 SS, 5.5 mm AF × 2.4 mm high</t>
        </is>
      </c>
      <c r="E64" t="inlineStr">
        <is>
          <t>Keeper-frame captive nuts</t>
        </is>
      </c>
      <c r="F64" t="inlineStr">
        <is>
          <t>McMaster</t>
        </is>
      </c>
      <c r="G64" t="inlineStr">
        <is>
          <t>91828A211</t>
        </is>
      </c>
      <c r="H64" t="n">
        <v>100</v>
      </c>
      <c r="I64" t="inlineStr">
        <is>
          <t>pack</t>
        </is>
      </c>
      <c r="J64" t="inlineStr">
        <is>
          <t>In hand</t>
        </is>
      </c>
      <c r="K64" t="inlineStr">
        <is>
          <t>§8.4</t>
        </is>
      </c>
      <c r="L64" t="inlineStr">
        <is>
          <t>Full-height DIN 934 nut. ~2.5 mm captive hex pocket from carriage back, leaving ~1.5 mm PLA floor above pocket.</t>
        </is>
      </c>
    </row>
    <row r="65">
      <c r="A65" t="inlineStr">
        <is>
          <t>CAS-001</t>
        </is>
      </c>
      <c r="B65" t="inlineStr">
        <is>
          <t>Cassettes</t>
        </is>
      </c>
      <c r="C65" t="n">
        <v>3</v>
      </c>
      <c r="D65" t="inlineStr">
        <is>
          <t>PLA printed cassettes</t>
        </is>
      </c>
      <c r="J65" t="inlineStr">
        <is>
          <t>CAD ready</t>
        </is>
      </c>
      <c r="K65" t="inlineStr">
        <is>
          <t>§8.6</t>
        </is>
      </c>
      <c r="L65" t="inlineStr">
        <is>
          <t>Cutoff cassettes; each takes four clamp-bar screws, nuts, and washers (CAS-003 to CAS-005).</t>
        </is>
      </c>
    </row>
    <row r="66">
      <c r="A66" t="inlineStr">
        <is>
          <t>CAS-002</t>
        </is>
      </c>
      <c r="B66" t="inlineStr">
        <is>
          <t>Cassettes</t>
        </is>
      </c>
      <c r="C66" t="n">
        <v>1</v>
      </c>
      <c r="D66" t="inlineStr">
        <is>
          <t>Rubber/EPDM sheet</t>
        </is>
      </c>
      <c r="E66" t="inlineStr">
        <is>
          <t>Retaining bar friction pads</t>
        </is>
      </c>
      <c r="F66" t="inlineStr">
        <is>
          <t>McMaster</t>
        </is>
      </c>
      <c r="G66" t="inlineStr">
        <is>
          <t>9852N37</t>
        </is>
      </c>
      <c r="H66" t="n">
        <v>1</v>
      </c>
      <c r="I66" t="inlineStr">
        <is>
          <t>sheet</t>
        </is>
      </c>
      <c r="J66" t="inlineStr">
        <is>
          <t>In hand</t>
        </is>
      </c>
      <c r="K66" t="inlineStr">
        <is>
          <t>§§7.5, 8.7</t>
        </is>
      </c>
      <c r="L66" t="inlineStr">
        <is>
          <t>Also faces the two slit-head blade clamp bars (§7.5), and supplies the Ø10 mm hold-down disc under the drilling-fixture plate (§6.8).</t>
        </is>
      </c>
    </row>
    <row r="67">
      <c r="A67" t="inlineStr">
        <is>
          <t>CAS-003</t>
        </is>
      </c>
      <c r="B67" t="inlineStr">
        <is>
          <t>Cassettes</t>
        </is>
      </c>
      <c r="C67" t="n">
        <v>12</v>
      </c>
      <c r="D67" t="inlineStr">
        <is>
          <t>M3 × 14 mm 90° flat-head socket screw, 18-8 SS</t>
        </is>
      </c>
      <c r="E67" t="inlineStr">
        <is>
          <t>Retaining bar screws</t>
        </is>
      </c>
      <c r="F67" t="inlineStr">
        <is>
          <t>McMaster</t>
        </is>
      </c>
      <c r="G67" t="inlineStr">
        <is>
          <t>92125A133</t>
        </is>
      </c>
      <c r="H67" t="n">
        <v>100</v>
      </c>
      <c r="I67" t="inlineStr">
        <is>
          <t>pack</t>
        </is>
      </c>
      <c r="J67" t="inlineStr">
        <is>
          <t>In hand</t>
        </is>
      </c>
      <c r="K67" t="inlineStr">
        <is>
          <t>§8.7</t>
        </is>
      </c>
      <c r="L67" t="inlineStr">
        <is>
          <t>Fit-tested on built cassettes with 4 mm bars: full nut engagement, head flush in countersink.</t>
        </is>
      </c>
    </row>
    <row r="68">
      <c r="A68" t="inlineStr">
        <is>
          <t>CAS-004</t>
        </is>
      </c>
      <c r="B68" t="inlineStr">
        <is>
          <t>Cassettes</t>
        </is>
      </c>
      <c r="C68" t="n">
        <v>12</v>
      </c>
      <c r="D68" t="inlineStr">
        <is>
          <t>M3 × 0.5 full-height hex nut, 18-8 SS</t>
        </is>
      </c>
      <c r="E68" t="inlineStr">
        <is>
          <t>Retaining bar nuts</t>
        </is>
      </c>
      <c r="F68" t="inlineStr">
        <is>
          <t>McMaster</t>
        </is>
      </c>
      <c r="G68" t="inlineStr">
        <is>
          <t>91828A211</t>
        </is>
      </c>
      <c r="H68" t="n">
        <v>100</v>
      </c>
      <c r="I68" t="inlineStr">
        <is>
          <t>pack</t>
        </is>
      </c>
      <c r="J68" t="inlineStr">
        <is>
          <t>In hand</t>
        </is>
      </c>
      <c r="K68" t="inlineStr">
        <is>
          <t>§8.7</t>
        </is>
      </c>
      <c r="L68" t="inlineStr">
        <is>
          <t>Shared 100-pack: 33 total nuts now allocated across split clamps, keeper frames, cassette retaining bars, the slit head, and the lens collars; 67 spare.</t>
        </is>
      </c>
    </row>
    <row r="69">
      <c r="A69" t="inlineStr">
        <is>
          <t>CAS-005</t>
        </is>
      </c>
      <c r="B69" t="inlineStr">
        <is>
          <t>Cassettes</t>
        </is>
      </c>
      <c r="C69" t="n">
        <v>12</v>
      </c>
      <c r="D69" t="inlineStr">
        <is>
          <t>M3 flat washer, 3.2 mm ID × 7 mm OD, 18-8 SS</t>
        </is>
      </c>
      <c r="E69" t="inlineStr">
        <is>
          <t>Retaining bar washers</t>
        </is>
      </c>
      <c r="F69" t="inlineStr">
        <is>
          <t>McMaster</t>
        </is>
      </c>
      <c r="G69" t="inlineStr">
        <is>
          <t>93475A210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Under exposed nut, on printed retaining bar. Shared 100-pack with the slit-head spacer washers (SLT-009).</t>
        </is>
      </c>
    </row>
    <row r="70">
      <c r="A70" t="inlineStr">
        <is>
          <t>CAS-007</t>
        </is>
      </c>
      <c r="B70" t="inlineStr">
        <is>
          <t>Cassettes</t>
        </is>
      </c>
      <c r="C70" t="n">
        <v>1</v>
      </c>
      <c r="D70" t="inlineStr">
        <is>
          <t>Razor blade, Stanley 11-515</t>
        </is>
      </c>
      <c r="E70" t="inlineStr">
        <is>
          <t>Cutoff cassette</t>
        </is>
      </c>
      <c r="F70" t="inlineStr">
        <is>
          <t>Amazon</t>
        </is>
      </c>
      <c r="G70" t="inlineStr">
        <is>
          <t>B000NNIIQM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</t>
        </is>
      </c>
      <c r="L70" t="inlineStr">
        <is>
          <t>Shared 100-pack with SLT-006: three blades allocated (two in the slit head, one in a cutoff cassette); 97 spare.</t>
        </is>
      </c>
    </row>
    <row r="71">
      <c r="A71" t="inlineStr">
        <is>
          <t>CAS-008</t>
        </is>
      </c>
      <c r="B71" t="inlineStr">
        <is>
          <t>Cassettes</t>
        </is>
      </c>
      <c r="C71" t="n">
        <v>1</v>
      </c>
      <c r="D71" t="inlineStr">
        <is>
          <t>Magnet wire, 44 AWG (~0.0508 mm bare conductor)</t>
        </is>
      </c>
      <c r="E71" t="inlineStr">
        <is>
          <t>Dark-field cutoff filament</t>
        </is>
      </c>
      <c r="F71" t="inlineStr">
        <is>
          <t>Amazon</t>
        </is>
      </c>
      <c r="G71" t="inlineStr">
        <is>
          <t>B0F29JW8CF</t>
        </is>
      </c>
      <c r="J71" t="inlineStr">
        <is>
          <t>In hand</t>
        </is>
      </c>
      <c r="K71" t="inlineStr">
        <is>
          <t>§8.8</t>
        </is>
      </c>
      <c r="L71" t="inlineStr">
        <is>
          <t>Enamel-coated copper. Finished outside diameter will be slightly larger than the nominal bare-conductor diameter.</t>
        </is>
      </c>
    </row>
    <row r="72">
      <c r="A72" t="inlineStr">
        <is>
          <t>CAS-009</t>
        </is>
      </c>
      <c r="B72" t="inlineStr">
        <is>
          <t>Cassettes</t>
        </is>
      </c>
      <c r="C72" t="n">
        <v>1</v>
      </c>
      <c r="D72" t="inlineStr">
        <is>
          <t>Magnet wire, 34 AWG (~0.160 mm bare conductor)</t>
        </is>
      </c>
      <c r="E72" t="inlineStr">
        <is>
          <t>Dark-field cutoff filament</t>
        </is>
      </c>
      <c r="F72" t="inlineStr">
        <is>
          <t>Amazon</t>
        </is>
      </c>
      <c r="G72" t="inlineStr">
        <is>
          <t>B07P2HJJP6</t>
        </is>
      </c>
      <c r="J72" t="inlineStr">
        <is>
          <t>In hand</t>
        </is>
      </c>
      <c r="K72" t="inlineStr">
        <is>
          <t>§8.8</t>
        </is>
      </c>
      <c r="L72" t="inlineStr">
        <is>
          <t>Enamel-coated copper. Finished outside diameter will be slightly larger than the nominal bare-conductor diameter.</t>
        </is>
      </c>
    </row>
    <row r="73">
      <c r="A73" t="inlineStr">
        <is>
          <t>CAS-010</t>
        </is>
      </c>
      <c r="B73" t="inlineStr">
        <is>
          <t>Cassettes</t>
        </is>
      </c>
      <c r="C73" t="n">
        <v>1</v>
      </c>
      <c r="D73" t="inlineStr">
        <is>
          <t>Magnet wire, 30 AWG (~0.255 mm bare conductor)</t>
        </is>
      </c>
      <c r="E73" t="inlineStr">
        <is>
          <t>Dark-field cutoff filament</t>
        </is>
      </c>
      <c r="F73" t="inlineStr">
        <is>
          <t>Amazon</t>
        </is>
      </c>
      <c r="G73" t="inlineStr">
        <is>
          <t>B07GBMKMKY</t>
        </is>
      </c>
      <c r="J73" t="inlineStr">
        <is>
          <t>In hand</t>
        </is>
      </c>
      <c r="K73" t="inlineStr">
        <is>
          <t>§8.8</t>
        </is>
      </c>
      <c r="L73" t="inlineStr">
        <is>
          <t>Enamel-coated copper. Finished outside diameter will be slightly larger than the nominal bare-conductor diameter.</t>
        </is>
      </c>
    </row>
    <row r="74">
      <c r="A74" t="inlineStr">
        <is>
          <t>CAS-011</t>
        </is>
      </c>
      <c r="B74" t="inlineStr">
        <is>
          <t>Cassettes</t>
        </is>
      </c>
      <c r="C74" t="n">
        <v>1</v>
      </c>
      <c r="D74" t="inlineStr">
        <is>
          <t>Rosco Roscolux Designer Color Selector Swatchbook - 3 x 6</t>
        </is>
      </c>
      <c r="E74" t="inlineStr">
        <is>
          <t>Cutoff cassettes</t>
        </is>
      </c>
      <c r="F74" t="inlineStr">
        <is>
          <t>Amazon</t>
        </is>
      </c>
      <c r="G74" t="inlineStr">
        <is>
          <t>B074V94RNR</t>
        </is>
      </c>
      <c r="H74" t="n">
        <v>1</v>
      </c>
      <c r="I74" t="inlineStr">
        <is>
          <t>each</t>
        </is>
      </c>
      <c r="J74" t="inlineStr">
        <is>
          <t>In hand</t>
        </is>
      </c>
      <c r="K74" t="inlineStr">
        <is>
          <t>§8.9</t>
        </is>
      </c>
    </row>
    <row r="75">
      <c r="A75" t="inlineStr">
        <is>
          <t>CAM-001</t>
        </is>
      </c>
      <c r="B75" t="inlineStr">
        <is>
          <t>Imager</t>
        </is>
      </c>
      <c r="C75" t="n">
        <v>1</v>
      </c>
      <c r="D75" t="inlineStr">
        <is>
          <t>iPhone</t>
        </is>
      </c>
      <c r="E75" t="inlineStr">
        <is>
          <t>Imager</t>
        </is>
      </c>
      <c r="F75" t="inlineStr">
        <is>
          <t>Apple</t>
        </is>
      </c>
      <c r="G75" t="inlineStr">
        <is>
          <t>iPhone 17</t>
        </is>
      </c>
      <c r="H75" t="n">
        <v>1</v>
      </c>
      <c r="I75" t="inlineStr">
        <is>
          <t>each</t>
        </is>
      </c>
      <c r="J75" t="inlineStr">
        <is>
          <t>In hand</t>
        </is>
      </c>
      <c r="K75" t="inlineStr">
        <is>
          <t>§9.1</t>
        </is>
      </c>
    </row>
    <row r="76">
      <c r="A76" t="inlineStr">
        <is>
          <t>CAM-002</t>
        </is>
      </c>
      <c r="B76" t="inlineStr">
        <is>
          <t>Imager</t>
        </is>
      </c>
      <c r="C76" t="n">
        <v>1</v>
      </c>
      <c r="D76" t="inlineStr">
        <is>
          <t>iPhone camera app</t>
        </is>
      </c>
      <c r="E76" t="inlineStr">
        <is>
          <t>Imager</t>
        </is>
      </c>
      <c r="F76" t="inlineStr">
        <is>
          <t>Blackmagic Design</t>
        </is>
      </c>
      <c r="G76" t="inlineStr">
        <is>
          <t>Blackmagic Camera</t>
        </is>
      </c>
      <c r="H76" t="n">
        <v>1</v>
      </c>
      <c r="I76" t="inlineStr">
        <is>
          <t>each</t>
        </is>
      </c>
      <c r="J76" t="inlineStr">
        <is>
          <t>In hand</t>
        </is>
      </c>
      <c r="K76" t="inlineStr">
        <is>
          <t>§9.1</t>
        </is>
      </c>
    </row>
    <row r="77">
      <c r="A77" t="inlineStr">
        <is>
          <t>CAM-003</t>
        </is>
      </c>
      <c r="B77" t="inlineStr">
        <is>
          <t>Imager</t>
        </is>
      </c>
      <c r="C77" t="n">
        <v>1</v>
      </c>
      <c r="D77" t="inlineStr">
        <is>
          <t>Telephoto lens, 17mm</t>
        </is>
      </c>
      <c r="E77" t="inlineStr">
        <is>
          <t>Imager</t>
        </is>
      </c>
      <c r="F77" t="inlineStr">
        <is>
          <t>iOgrapher</t>
        </is>
      </c>
      <c r="G77" t="inlineStr">
        <is>
          <t>proSnap 7×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§9.2</t>
        </is>
      </c>
    </row>
    <row r="78">
      <c r="A78" t="inlineStr">
        <is>
          <t>CAM-004</t>
        </is>
      </c>
      <c r="B78" t="inlineStr">
        <is>
          <t>Imager</t>
        </is>
      </c>
      <c r="C78" t="n">
        <v>4</v>
      </c>
      <c r="D78" t="inlineStr">
        <is>
          <t>Ball-tip jack screws</t>
        </is>
      </c>
      <c r="E78" t="inlineStr">
        <is>
          <t>Lens cradle adjusters</t>
        </is>
      </c>
      <c r="F78" t="inlineStr">
        <is>
          <t>McMaster</t>
        </is>
      </c>
      <c r="G78" t="inlineStr">
        <is>
          <t>93339A252</t>
        </is>
      </c>
      <c r="H78" t="n">
        <v>4</v>
      </c>
      <c r="I78" t="inlineStr">
        <is>
          <t>each</t>
        </is>
      </c>
      <c r="J78" t="inlineStr">
        <is>
          <t>In hand</t>
        </is>
      </c>
      <c r="K78" t="inlineStr">
        <is>
          <t>§9.7</t>
        </is>
      </c>
      <c r="L78" t="inlineStr">
        <is>
          <t>Two under each lens collar. All four of the pack in hand are allocated; no spare.</t>
        </is>
      </c>
    </row>
    <row r="79">
      <c r="A79" t="inlineStr">
        <is>
          <t>CAM-005</t>
        </is>
      </c>
      <c r="B79" t="inlineStr">
        <is>
          <t>Imager</t>
        </is>
      </c>
      <c r="C79" t="n">
        <v>6</v>
      </c>
      <c r="D79" t="inlineStr">
        <is>
          <t>M5 flanged heat-set inserts</t>
        </is>
      </c>
      <c r="E79" t="inlineStr">
        <is>
          <t>Lens cradle adjusters and yoke joints</t>
        </is>
      </c>
      <c r="F79" t="inlineStr">
        <is>
          <t>McMaster</t>
        </is>
      </c>
      <c r="G79" t="inlineStr">
        <is>
          <t>94459A797</t>
        </is>
      </c>
      <c r="H79" t="n">
        <v>25</v>
      </c>
      <c r="I79" t="inlineStr">
        <is>
          <t>pack</t>
        </is>
      </c>
      <c r="J79" t="inlineStr">
        <is>
          <t>In hand</t>
        </is>
      </c>
      <c r="K79" t="inlineStr">
        <is>
          <t>§9.7</t>
        </is>
      </c>
      <c r="L79" t="inlineStr">
        <is>
          <t>Four set in the yoke arms (one per adjuster) and two in the yoke column feet for the joint screws (CAM-016). One pack of 25 in hand; 19 spare.</t>
        </is>
      </c>
    </row>
    <row r="80">
      <c r="A80" t="inlineStr">
        <is>
          <t>CAM-006</t>
        </is>
      </c>
      <c r="B80" t="inlineStr">
        <is>
          <t>Imager</t>
        </is>
      </c>
      <c r="C80" t="n">
        <v>4</v>
      </c>
      <c r="D80" t="inlineStr">
        <is>
          <t>M5 thumb nuts, low profile black oxide</t>
        </is>
      </c>
      <c r="E80" t="inlineStr">
        <is>
          <t>Lens cradle adjuster handwheels</t>
        </is>
      </c>
      <c r="F80" t="inlineStr">
        <is>
          <t>McMaster</t>
        </is>
      </c>
      <c r="G80" t="inlineStr">
        <is>
          <t>92815A202</t>
        </is>
      </c>
      <c r="H80" t="n">
        <v>10</v>
      </c>
      <c r="I80" t="inlineStr">
        <is>
          <t>pack</t>
        </is>
      </c>
      <c r="J80" t="inlineStr">
        <is>
          <t>In hand</t>
        </is>
      </c>
      <c r="K80" t="inlineStr">
        <is>
          <t>§9.7</t>
        </is>
      </c>
      <c r="L80" t="inlineStr">
        <is>
          <t>Threadlocked mid-screw. Shared 10-pack with the yaw clamp thumb nuts (FRM-010).</t>
        </is>
      </c>
    </row>
    <row r="81">
      <c r="A81" t="inlineStr">
        <is>
          <t>CAM-007</t>
        </is>
      </c>
      <c r="B81" t="inlineStr">
        <is>
          <t>Imager</t>
        </is>
      </c>
      <c r="C81" t="n">
        <v>1</v>
      </c>
      <c r="D81" t="inlineStr">
        <is>
          <t>PLA printed phone rest</t>
        </is>
      </c>
      <c r="E81" t="inlineStr">
        <is>
          <t>Roll support under the phone's lower edge</t>
        </is>
      </c>
      <c r="J81" t="inlineStr">
        <is>
          <t>CAD ready</t>
        </is>
      </c>
      <c r="K81" t="inlineStr">
        <is>
          <t>§9.6</t>
        </is>
      </c>
      <c r="L81" t="inlineStr">
        <is>
          <t>Phone-specific rail shoe with an arm carrying the rest rod.</t>
        </is>
      </c>
    </row>
    <row r="82">
      <c r="A82" t="inlineStr">
        <is>
          <t>CAM-008</t>
        </is>
      </c>
      <c r="B82" t="inlineStr">
        <is>
          <t>Imager</t>
        </is>
      </c>
      <c r="C82" t="n">
        <v>1</v>
      </c>
      <c r="D82" t="inlineStr">
        <is>
          <t>PLA printed lens cradle shoe</t>
        </is>
      </c>
      <c r="E82" t="inlineStr">
        <is>
          <t>Rail-shoe saddle that carries the two yokes</t>
        </is>
      </c>
      <c r="J82" t="inlineStr">
        <is>
          <t>CAD ready</t>
        </is>
      </c>
      <c r="K82" t="inlineStr">
        <is>
          <t>§9.5</t>
        </is>
      </c>
      <c r="L82" t="inlineStr">
        <is>
          <t>Lens-specific. Two locating walls and a countersunk M5 hole per yoke; two M5 side-channel clamp holes.</t>
        </is>
      </c>
    </row>
    <row r="83">
      <c r="A83" t="inlineStr">
        <is>
          <t>CAM-009</t>
        </is>
      </c>
      <c r="B83" t="inlineStr">
        <is>
          <t>Imager</t>
        </is>
      </c>
      <c r="C83" t="n">
        <v>3</v>
      </c>
      <c r="D83" t="inlineStr">
        <is>
          <t>N52 Bar Magnet - 10mm L x 5mm W x 2mm H</t>
        </is>
      </c>
      <c r="E83" t="inlineStr">
        <is>
          <t>Flat bearing inserts under three lens-cradle screw tips</t>
        </is>
      </c>
      <c r="F83" t="inlineStr">
        <is>
          <t>Amazon</t>
        </is>
      </c>
      <c r="G83" t="inlineStr">
        <is>
          <t>B0DMCY4FN1</t>
        </is>
      </c>
      <c r="H83" t="n">
        <v>120</v>
      </c>
      <c r="I83" t="inlineStr">
        <is>
          <t>pack</t>
        </is>
      </c>
      <c r="J83" t="inlineStr">
        <is>
          <t>In hand</t>
        </is>
      </c>
      <c r="K83" t="inlineStr">
        <is>
          <t>§§9.5–9.7</t>
        </is>
      </c>
      <c r="L83" t="inlineStr">
        <is>
          <t>Nickel-plated rectangular magnets, 10 mm side across the rail; the fourth screw tip sits in a rod groove (CAM-010).</t>
        </is>
      </c>
    </row>
    <row r="84">
      <c r="A84" t="inlineStr">
        <is>
          <t>CAM-010</t>
        </is>
      </c>
      <c r="B84" t="inlineStr">
        <is>
          <t>Imager</t>
        </is>
      </c>
      <c r="C84" t="n">
        <v>2</v>
      </c>
      <c r="D84" t="inlineStr">
        <is>
          <t>Ø3 × 10 mm 18-8 stainless dowel pin, ISO 2338 m6</t>
        </is>
      </c>
      <c r="E84" t="inlineStr">
        <is>
          <t>Groove rods at the fourth lens-cradle screw</t>
        </is>
      </c>
      <c r="F84" t="inlineStr">
        <is>
          <t>McMaster</t>
        </is>
      </c>
      <c r="G84" t="inlineStr">
        <is>
          <t>91585A351</t>
        </is>
      </c>
      <c r="H84" t="n">
        <v>50</v>
      </c>
      <c r="I84" t="inlineStr">
        <is>
          <t>pack</t>
        </is>
      </c>
      <c r="J84" t="inlineStr">
        <is>
          <t>In hand</t>
        </is>
      </c>
      <c r="K84" t="inlineStr">
        <is>
          <t>§§9.5–9.7</t>
        </is>
      </c>
      <c r="L84" t="inlineStr">
        <is>
          <t>Chamfered ends. Two installed, lying across the rail in the aft collar pad pocket; one pack of 50.</t>
        </is>
      </c>
    </row>
    <row r="85">
      <c r="A85" t="inlineStr">
        <is>
          <t>CAM-011</t>
        </is>
      </c>
      <c r="B85" t="inlineStr">
        <is>
          <t>Imager</t>
        </is>
      </c>
      <c r="C85" t="n">
        <v>2</v>
      </c>
      <c r="D85" t="inlineStr">
        <is>
          <t>PLA printed lens collars</t>
        </is>
      </c>
      <c r="E85" t="inlineStr">
        <is>
          <t>Split clamps on the lens barrel, carrying the adjuster pads</t>
        </is>
      </c>
      <c r="J85" t="inlineStr">
        <is>
          <t>CAD ready</t>
        </is>
      </c>
      <c r="K85" t="inlineStr">
        <is>
          <t>§9.5</t>
        </is>
      </c>
      <c r="L85" t="inlineStr">
        <is>
          <t>Two collars for the 37 mm barrel, identical except that the aft collar's left pad pocket seats the groove rods (CAM-010) in place of a flat bearing insert.</t>
        </is>
      </c>
    </row>
    <row r="86">
      <c r="A86" t="inlineStr">
        <is>
          <t>CAM-012</t>
        </is>
      </c>
      <c r="B86" t="inlineStr">
        <is>
          <t>Imager</t>
        </is>
      </c>
      <c r="C86" t="n">
        <v>2</v>
      </c>
      <c r="D86" t="inlineStr">
        <is>
          <t>M3 × 12 mm socket head screw, 18-8 SS</t>
        </is>
      </c>
      <c r="E86" t="inlineStr">
        <is>
          <t>Lens collar clamp screws</t>
        </is>
      </c>
      <c r="F86" t="inlineStr">
        <is>
          <t>McMaster</t>
        </is>
      </c>
      <c r="G86" t="inlineStr">
        <is>
          <t>91292A114</t>
        </is>
      </c>
      <c r="H86" t="n">
        <v>100</v>
      </c>
      <c r="I86" t="inlineStr">
        <is>
          <t>pack</t>
        </is>
      </c>
      <c r="J86" t="inlineStr">
        <is>
          <t>In hand</t>
        </is>
      </c>
      <c r="K86" t="inlineStr">
        <is>
          <t>§9.5</t>
        </is>
      </c>
      <c r="L86" t="inlineStr">
        <is>
          <t>Shared common 100-pack. One screw per collar.</t>
        </is>
      </c>
    </row>
    <row r="87">
      <c r="A87" t="inlineStr">
        <is>
          <t>CAM-013</t>
        </is>
      </c>
      <c r="B87" t="inlineStr">
        <is>
          <t>Imager</t>
        </is>
      </c>
      <c r="C87" t="n">
        <v>2</v>
      </c>
      <c r="D87" t="inlineStr">
        <is>
          <t>M3 × 0.5 hex nut, 18-8 SS, 5.5 mm AF × 2.4 mm high</t>
        </is>
      </c>
      <c r="E87" t="inlineStr">
        <is>
          <t>Lens collar clamp nuts</t>
        </is>
      </c>
      <c r="F87" t="inlineStr">
        <is>
          <t>McMaster</t>
        </is>
      </c>
      <c r="G87" t="inlineStr">
        <is>
          <t>91828A211</t>
        </is>
      </c>
      <c r="H87" t="n">
        <v>100</v>
      </c>
      <c r="I87" t="inlineStr">
        <is>
          <t>pack</t>
        </is>
      </c>
      <c r="J87" t="inlineStr">
        <is>
          <t>In hand</t>
        </is>
      </c>
      <c r="K87" t="inlineStr">
        <is>
          <t>§9.5</t>
        </is>
      </c>
      <c r="L87" t="inlineStr">
        <is>
          <t>Shared common 100-pack (see CAS-004). One nut per collar.</t>
        </is>
      </c>
    </row>
    <row r="88">
      <c r="A88" t="inlineStr">
        <is>
          <t>CAM-014</t>
        </is>
      </c>
      <c r="B88" t="inlineStr">
        <is>
          <t>Imager</t>
        </is>
      </c>
      <c r="C88" t="n">
        <v>2</v>
      </c>
      <c r="D88" t="inlineStr">
        <is>
          <t>Oil-resistant Buna-N O-ring, 2 mm wide × 40 mm ID, 70A, round</t>
        </is>
      </c>
      <c r="E88" t="inlineStr">
        <is>
          <t>Lens cradle retaining bands</t>
        </is>
      </c>
      <c r="F88" t="inlineStr">
        <is>
          <t>McMaster</t>
        </is>
      </c>
      <c r="G88" t="inlineStr">
        <is>
          <t>9262K203</t>
        </is>
      </c>
      <c r="H88" t="n">
        <v>25</v>
      </c>
      <c r="I88" t="inlineStr">
        <is>
          <t>pack</t>
        </is>
      </c>
      <c r="J88" t="inlineStr">
        <is>
          <t>In hand</t>
        </is>
      </c>
      <c r="K88" t="inlineStr">
        <is>
          <t>§9.8</t>
        </is>
      </c>
      <c r="L88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89">
      <c r="A89" t="inlineStr">
        <is>
          <t>CAM-015</t>
        </is>
      </c>
      <c r="B89" t="inlineStr">
        <is>
          <t>Imager</t>
        </is>
      </c>
      <c r="C89" t="n">
        <v>2</v>
      </c>
      <c r="D89" t="inlineStr">
        <is>
          <t>PLA printed lens cradle yokes</t>
        </is>
      </c>
      <c r="E89" t="inlineStr">
        <is>
          <t>Carry the adjuster inserts and the retaining-band pegs</t>
        </is>
      </c>
      <c r="J89" t="inlineStr">
        <is>
          <t>CAD ready</t>
        </is>
      </c>
      <c r="K89" t="inlineStr">
        <is>
          <t>§9.5</t>
        </is>
      </c>
      <c r="L89" t="inlineStr">
        <is>
          <t>Printed on their side; each bolted to the cradle shoe with one countersunk M5 screw (CAM-016) into a heat-set insert (CAM-005).</t>
        </is>
      </c>
    </row>
    <row r="90">
      <c r="A90" t="inlineStr">
        <is>
          <t>CAM-016</t>
        </is>
      </c>
      <c r="B90" t="inlineStr">
        <is>
          <t>Imager</t>
        </is>
      </c>
      <c r="C90" t="n">
        <v>2</v>
      </c>
      <c r="D90" t="inlineStr">
        <is>
          <t>M5 × 0.8 × 10 mm 18-8 stainless hex-drive flat head screw, 90°</t>
        </is>
      </c>
      <c r="E90" t="inlineStr">
        <is>
          <t>Yoke-to-shoe joint screws</t>
        </is>
      </c>
      <c r="F90" t="inlineStr">
        <is>
          <t>McMaster</t>
        </is>
      </c>
      <c r="G90" t="inlineStr">
        <is>
          <t>92125A208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§§9.5, 9.7</t>
        </is>
      </c>
      <c r="L90" t="inlineStr">
        <is>
          <t>10 mm head, 3 mm hex drive. Each screws up through the cradle shoe deck into a heat-set insert in the yoke foot.</t>
        </is>
      </c>
    </row>
    <row r="91">
      <c r="A91" t="inlineStr">
        <is>
          <t>CAM-017</t>
        </is>
      </c>
      <c r="B91" t="inlineStr">
        <is>
          <t>Imager</t>
        </is>
      </c>
      <c r="C91" t="n">
        <v>1</v>
      </c>
      <c r="D91" t="inlineStr">
        <is>
          <t>Ø4 × 20 mm 18-8 stainless dowel pin, ISO 2338 m6</t>
        </is>
      </c>
      <c r="E91" t="inlineStr">
        <is>
          <t>Phone rest rod</t>
        </is>
      </c>
      <c r="F91" t="inlineStr">
        <is>
          <t>McMaster</t>
        </is>
      </c>
      <c r="G91" t="inlineStr">
        <is>
          <t>91585A457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§9.6</t>
        </is>
      </c>
      <c r="L91" t="inlineStr">
        <is>
          <t>Chamfered ends. Lies along the rail in the half-round seat of the phone rest arm (CAM-007); one pack of 25.</t>
        </is>
      </c>
    </row>
    <row r="92">
      <c r="A92" t="inlineStr">
        <is>
          <t>MIR-001</t>
        </is>
      </c>
      <c r="B92" t="inlineStr">
        <is>
          <t>Mirror cell</t>
        </is>
      </c>
      <c r="C92" t="n">
        <v>1</v>
      </c>
      <c r="D92" t="inlineStr">
        <is>
          <t>Skyoptikst D203F1600 spherical mirror, Ø203 mm, f=1600 mm</t>
        </is>
      </c>
      <c r="F92" t="inlineStr">
        <is>
          <t>Amazon</t>
        </is>
      </c>
      <c r="G92" t="inlineStr">
        <is>
          <t>B0B5RR41CT</t>
        </is>
      </c>
      <c r="H92" t="n">
        <v>1</v>
      </c>
      <c r="I92" t="inlineStr">
        <is>
          <t>each</t>
        </is>
      </c>
      <c r="J92" t="inlineStr">
        <is>
          <t>In hand</t>
        </is>
      </c>
      <c r="K92" t="inlineStr">
        <is>
          <t>§10.5</t>
        </is>
      </c>
    </row>
    <row r="93">
      <c r="A93" t="inlineStr">
        <is>
          <t>MIR-002</t>
        </is>
      </c>
      <c r="B93" t="inlineStr">
        <is>
          <t>Mirror cell</t>
        </is>
      </c>
      <c r="C93" t="n">
        <v>2</v>
      </c>
      <c r="D93" t="inlineStr">
        <is>
          <t>Baltic birch plywood panel 12 × 12 × 1/2 in</t>
        </is>
      </c>
      <c r="E93" t="inlineStr">
        <is>
          <t>Base and adjuster plates</t>
        </is>
      </c>
      <c r="F93" t="inlineStr">
        <is>
          <t>Amazon</t>
        </is>
      </c>
      <c r="G93" t="inlineStr">
        <is>
          <t>B09D941GXR</t>
        </is>
      </c>
      <c r="H93" t="n">
        <v>4</v>
      </c>
      <c r="I93" t="inlineStr">
        <is>
          <t>pack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MIR-003</t>
        </is>
      </c>
      <c r="B94" t="inlineStr">
        <is>
          <t>Mirror cell</t>
        </is>
      </c>
      <c r="C94" t="n">
        <v>1</v>
      </c>
      <c r="D94" t="inlineStr">
        <is>
          <t>Baltic birch plywood panel 12 × 12 × 3/4 in</t>
        </is>
      </c>
      <c r="E94" t="inlineStr">
        <is>
          <t>Mirror plate</t>
        </is>
      </c>
      <c r="F94" t="inlineStr">
        <is>
          <t>Amazon</t>
        </is>
      </c>
      <c r="G94" t="inlineStr">
        <is>
          <t>B0GL9G45GH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§10.1</t>
        </is>
      </c>
    </row>
    <row r="95">
      <c r="A95" t="inlineStr">
        <is>
          <t>MIR-004</t>
        </is>
      </c>
      <c r="B95" t="inlineStr">
        <is>
          <t>Mirror cell</t>
        </is>
      </c>
      <c r="C95" t="n">
        <v>3</v>
      </c>
      <c r="D95" t="inlineStr">
        <is>
          <t>1/4-80 TPI Imperial fine adjustment screws, 2.5 in</t>
        </is>
      </c>
      <c r="F95" t="inlineStr">
        <is>
          <t>Kozak</t>
        </is>
      </c>
      <c r="G95" t="inlineStr">
        <is>
          <t>TS250-80-2500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MIR-005</t>
        </is>
      </c>
      <c r="B96" t="inlineStr">
        <is>
          <t>Mirror cell</t>
        </is>
      </c>
      <c r="C96" t="n">
        <v>3</v>
      </c>
      <c r="D96" t="inlineStr">
        <is>
          <t>Imperial Fine Adjustment Carrier Bushings</t>
        </is>
      </c>
      <c r="F96" t="inlineStr">
        <is>
          <t>Kozak</t>
        </is>
      </c>
      <c r="G96" t="inlineStr">
        <is>
          <t>TB250-80-625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MIR-006</t>
        </is>
      </c>
      <c r="B97" t="inlineStr">
        <is>
          <t>Mirror cell</t>
        </is>
      </c>
      <c r="C97" t="n">
        <v>3</v>
      </c>
      <c r="D97" t="inlineStr">
        <is>
          <t>Imperial Adjustment Knobs</t>
        </is>
      </c>
      <c r="F97" t="inlineStr">
        <is>
          <t>Kozak</t>
        </is>
      </c>
      <c r="G97" t="inlineStr">
        <is>
          <t>KB250-80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MIR-007</t>
        </is>
      </c>
      <c r="B98" t="inlineStr">
        <is>
          <t>Mirror cell</t>
        </is>
      </c>
      <c r="C98" t="n">
        <v>3</v>
      </c>
      <c r="D98" t="inlineStr">
        <is>
          <t>Leveling Washer, Two Piece, 1/4" Screw Size, Black-Oxide Steel</t>
        </is>
      </c>
      <c r="E98" t="inlineStr">
        <is>
          <t>Spherical washers</t>
        </is>
      </c>
      <c r="F98" t="inlineStr">
        <is>
          <t>McMaster</t>
        </is>
      </c>
      <c r="G98" t="inlineStr">
        <is>
          <t>91131A028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§10.4</t>
        </is>
      </c>
    </row>
    <row r="99">
      <c r="A99" t="inlineStr">
        <is>
          <t>MIR-008</t>
        </is>
      </c>
      <c r="B99" t="inlineStr">
        <is>
          <t>Mirror cell</t>
        </is>
      </c>
      <c r="C99" t="n">
        <v>3</v>
      </c>
      <c r="D99" t="inlineStr">
        <is>
          <t>Compression Springs, 0.75" Long, 0.5" OD, 0.424" ID</t>
        </is>
      </c>
      <c r="F99" t="inlineStr">
        <is>
          <t>McMaster</t>
        </is>
      </c>
      <c r="G99" t="inlineStr">
        <is>
          <t>2022N186</t>
        </is>
      </c>
      <c r="H99" t="n">
        <v>5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MIR-009</t>
        </is>
      </c>
      <c r="B100" t="inlineStr">
        <is>
          <t>Mirror cell</t>
        </is>
      </c>
      <c r="C100" t="n">
        <v>6</v>
      </c>
      <c r="D100" t="inlineStr">
        <is>
          <t>Washer for 3/8" washer, 0.390" ID, 0.028" to 0.036" thick, 18-8 SS</t>
        </is>
      </c>
      <c r="E100" t="inlineStr">
        <is>
          <t>Spring seat washers</t>
        </is>
      </c>
      <c r="F100" t="inlineStr">
        <is>
          <t>McMaster</t>
        </is>
      </c>
      <c r="G100" t="inlineStr">
        <is>
          <t>98017A199</t>
        </is>
      </c>
      <c r="H100" t="n">
        <v>100</v>
      </c>
      <c r="I100" t="inlineStr">
        <is>
          <t>pack</t>
        </is>
      </c>
      <c r="J100" t="inlineStr">
        <is>
          <t>In hand</t>
        </is>
      </c>
      <c r="K100" t="inlineStr">
        <is>
          <t>§10.3</t>
        </is>
      </c>
    </row>
    <row r="101">
      <c r="A101" t="inlineStr">
        <is>
          <t>MIR-010</t>
        </is>
      </c>
      <c r="B101" t="inlineStr">
        <is>
          <t>Mirror cell</t>
        </is>
      </c>
      <c r="C101" t="n">
        <v>2</v>
      </c>
      <c r="D101" t="inlineStr">
        <is>
          <t>3" Long Corner Bracket, aluminum</t>
        </is>
      </c>
      <c r="E101" t="inlineStr">
        <is>
          <t>Adjuster plate to base plate mounting</t>
        </is>
      </c>
      <c r="F101" t="inlineStr">
        <is>
          <t>McMaster</t>
        </is>
      </c>
      <c r="G101" t="inlineStr">
        <is>
          <t>8681N11</t>
        </is>
      </c>
      <c r="H101" t="n">
        <v>2</v>
      </c>
      <c r="I101" t="inlineStr">
        <is>
          <t>each</t>
        </is>
      </c>
      <c r="J101" t="inlineStr">
        <is>
          <t>In hand</t>
        </is>
      </c>
      <c r="K101" t="inlineStr">
        <is>
          <t>§10.7</t>
        </is>
      </c>
    </row>
    <row r="102">
      <c r="A102" t="inlineStr">
        <is>
          <t>MIR-012</t>
        </is>
      </c>
      <c r="B102" t="inlineStr">
        <is>
          <t>Mirror cell</t>
        </is>
      </c>
      <c r="C102" t="n">
        <v>8</v>
      </c>
      <c r="D102" t="inlineStr">
        <is>
          <t>5/16"-18 heavy-profile nylon-insert locknut, 18-8 SS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90099A030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Eight installed, four per bracket. Two 5-packs in hand (10 nuts, two spare).</t>
        </is>
      </c>
    </row>
    <row r="103">
      <c r="A103" t="inlineStr">
        <is>
          <t>MIR-013</t>
        </is>
      </c>
      <c r="B103" t="inlineStr">
        <is>
          <t>Mirror cell</t>
        </is>
      </c>
      <c r="C103" t="n">
        <v>8</v>
      </c>
      <c r="D103" t="inlineStr">
        <is>
          <t>5/16" SAE washer, 0.344" ID × 0.688" OD, 18-8 SS black oxide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96659A134</t>
        </is>
      </c>
      <c r="H103" t="n">
        <v>25</v>
      </c>
      <c r="I103" t="inlineStr">
        <is>
          <t>pack</t>
        </is>
      </c>
      <c r="J103" t="inlineStr">
        <is>
          <t>In hand</t>
        </is>
      </c>
      <c r="K103" t="inlineStr">
        <is>
          <t>§10.7</t>
        </is>
      </c>
      <c r="L103" t="inlineStr">
        <is>
          <t>Eight installed, one under each bracket locknut. Two more from the pack in SHP-038.</t>
        </is>
      </c>
    </row>
    <row r="104">
      <c r="A104" t="inlineStr">
        <is>
          <t>MIR-024</t>
        </is>
      </c>
      <c r="B104" t="inlineStr">
        <is>
          <t>Mirror cell</t>
        </is>
      </c>
      <c r="C104" t="n">
        <v>4</v>
      </c>
      <c r="D104" t="inlineStr">
        <is>
          <t>M4 × 0.7 × 18 mm 90° flat-head hex-drive screw, 18-8 stainless</t>
        </is>
      </c>
      <c r="E104" t="inlineStr">
        <is>
          <t>Quick-release plate mounting screws</t>
        </is>
      </c>
      <c r="F104" t="inlineStr">
        <is>
          <t>McMaster</t>
        </is>
      </c>
      <c r="G104" t="inlineStr">
        <is>
          <t>92125A196</t>
        </is>
      </c>
      <c r="H104" t="n">
        <v>100</v>
      </c>
      <c r="I104" t="inlineStr">
        <is>
          <t>pack</t>
        </is>
      </c>
      <c r="J104" t="inlineStr">
        <is>
          <t>In hand</t>
        </is>
      </c>
      <c r="K104" t="inlineStr">
        <is>
          <t>§10.9</t>
        </is>
      </c>
      <c r="L104" t="inlineStr">
        <is>
          <t>Four installed.</t>
        </is>
      </c>
    </row>
    <row r="105">
      <c r="A105" t="inlineStr">
        <is>
          <t>MIR-025</t>
        </is>
      </c>
      <c r="B105" t="inlineStr">
        <is>
          <t>Mirror cell</t>
        </is>
      </c>
      <c r="C105" t="n">
        <v>1</v>
      </c>
      <c r="D105" t="inlineStr">
        <is>
          <t>CAMVATE Manfrotto-Type Quick Release Assembly with Sliding Plate Camera Mount</t>
        </is>
      </c>
      <c r="E105" t="inlineStr">
        <is>
          <t>Mirror-cell quick-release / tripod interface</t>
        </is>
      </c>
      <c r="F105" t="inlineStr">
        <is>
          <t>Amazon</t>
        </is>
      </c>
      <c r="G105" t="inlineStr">
        <is>
          <t>B0B2WBC921</t>
        </is>
      </c>
      <c r="H105" t="n">
        <v>1</v>
      </c>
      <c r="I105" t="inlineStr">
        <is>
          <t>each</t>
        </is>
      </c>
      <c r="J105" t="inlineStr">
        <is>
          <t>In hand</t>
        </is>
      </c>
      <c r="K105" t="inlineStr">
        <is>
          <t>§10.9</t>
        </is>
      </c>
      <c r="L105" t="inlineStr">
        <is>
          <t>Complete 577/501/504-compatible quick-release assembly with removable sliding plate and receiver. The removable plate is drilled and tapped M4 to the §10.9 layout.</t>
        </is>
      </c>
    </row>
    <row r="106">
      <c r="A106" t="inlineStr">
        <is>
          <t>MIR-019</t>
        </is>
      </c>
      <c r="B106" t="inlineStr">
        <is>
          <t>Mirror cell</t>
        </is>
      </c>
      <c r="C106" t="n">
        <v>1</v>
      </c>
      <c r="D106" t="inlineStr">
        <is>
          <t>DOWSIL 737 clear silicone, 3 fl. oz.</t>
        </is>
      </c>
      <c r="E106" t="inlineStr">
        <is>
          <t>Mirror mounting</t>
        </is>
      </c>
      <c r="F106" t="inlineStr">
        <is>
          <t>McMaster</t>
        </is>
      </c>
      <c r="G106" t="inlineStr">
        <is>
          <t>7587A25</t>
        </is>
      </c>
      <c r="H106" t="n">
        <v>1</v>
      </c>
      <c r="I106" t="inlineStr">
        <is>
          <t>each</t>
        </is>
      </c>
      <c r="J106" t="inlineStr">
        <is>
          <t>In hand</t>
        </is>
      </c>
      <c r="K106" t="inlineStr">
        <is>
          <t>§10.5</t>
        </is>
      </c>
    </row>
    <row r="107">
      <c r="A107" t="inlineStr">
        <is>
          <t>MIR-020</t>
        </is>
      </c>
      <c r="B107" t="inlineStr">
        <is>
          <t>Mirror cell</t>
        </is>
      </c>
      <c r="C107" t="n">
        <v>1</v>
      </c>
      <c r="D107" t="inlineStr">
        <is>
          <t>Adhesive backed F1 felt</t>
        </is>
      </c>
      <c r="E107" t="inlineStr">
        <is>
          <t>Safety retainer padding</t>
        </is>
      </c>
      <c r="F107" t="inlineStr">
        <is>
          <t>McMaster</t>
        </is>
      </c>
      <c r="G107" t="inlineStr">
        <is>
          <t>8334K15</t>
        </is>
      </c>
      <c r="H107" t="n">
        <v>1</v>
      </c>
      <c r="I107" t="inlineStr">
        <is>
          <t>sheet</t>
        </is>
      </c>
      <c r="J107" t="inlineStr">
        <is>
          <t>In hand</t>
        </is>
      </c>
      <c r="K107" t="inlineStr">
        <is>
          <t>§10.8</t>
        </is>
      </c>
      <c r="L107" t="inlineStr">
        <is>
          <t>Provisional: facing for the safety retainers (MIR-021); the retainers are not yet designed.</t>
        </is>
      </c>
    </row>
    <row r="108">
      <c r="A108" t="inlineStr">
        <is>
          <t>MIR-021</t>
        </is>
      </c>
      <c r="B108" t="inlineStr">
        <is>
          <t>Mirror cell</t>
        </is>
      </c>
      <c r="C108" t="n">
        <v>3</v>
      </c>
      <c r="D108" t="inlineStr">
        <is>
          <t>PLA printed front safety retainers</t>
        </is>
      </c>
      <c r="J108" t="inlineStr">
        <is>
          <t>CAD open</t>
        </is>
      </c>
      <c r="K108" t="inlineStr">
        <is>
          <t>§10.8</t>
        </is>
      </c>
    </row>
    <row r="109">
      <c r="A109" t="inlineStr">
        <is>
          <t>MIR-026</t>
        </is>
      </c>
      <c r="B109" t="inlineStr">
        <is>
          <t>Mirror cell</t>
        </is>
      </c>
      <c r="C109" t="n">
        <v>8</v>
      </c>
      <c r="D109" t="inlineStr">
        <is>
          <t>5/16"-18 × 1-3/8" 316 stainless button-head hex-drive screw</t>
        </is>
      </c>
      <c r="E109" t="inlineStr">
        <is>
          <t>Bracket screws, heads on the bracket</t>
        </is>
      </c>
      <c r="F109" t="inlineStr">
        <is>
          <t>McMaster</t>
        </is>
      </c>
      <c r="G109" t="inlineStr">
        <is>
          <t>98164A527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K109" t="inlineStr">
        <is>
          <t>§10.7</t>
        </is>
      </c>
      <c r="L109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0">
      <c r="A110" t="inlineStr">
        <is>
          <t>SHP-001</t>
        </is>
      </c>
      <c r="B110" t="inlineStr">
        <is>
          <t>Shop supplies</t>
        </is>
      </c>
      <c r="C110" t="n">
        <v>1</v>
      </c>
      <c r="D110" t="inlineStr">
        <is>
          <t>Loctite 271 threadlocker, .34 fl. oz.</t>
        </is>
      </c>
      <c r="F110" t="inlineStr">
        <is>
          <t>McMaster</t>
        </is>
      </c>
      <c r="G110" t="inlineStr">
        <is>
          <t>91458A160</t>
        </is>
      </c>
      <c r="H110" t="n">
        <v>1</v>
      </c>
      <c r="I110" t="inlineStr">
        <is>
          <t>each</t>
        </is>
      </c>
      <c r="J110" t="inlineStr">
        <is>
          <t>In hand</t>
        </is>
      </c>
      <c r="K110" t="inlineStr">
        <is>
          <t>§9.7</t>
        </is>
      </c>
    </row>
    <row r="111">
      <c r="A111" t="inlineStr">
        <is>
          <t>SHP-003</t>
        </is>
      </c>
      <c r="B111" t="inlineStr">
        <is>
          <t>Shop supplies</t>
        </is>
      </c>
      <c r="C111" t="n">
        <v>1</v>
      </c>
      <c r="D111" t="inlineStr">
        <is>
          <t>Optical spanner wrench</t>
        </is>
      </c>
      <c r="F111" t="inlineStr">
        <is>
          <t>Amazon</t>
        </is>
      </c>
      <c r="G111" t="inlineStr">
        <is>
          <t>B0CKSL364Q</t>
        </is>
      </c>
      <c r="H111" t="n">
        <v>1</v>
      </c>
      <c r="I111" t="inlineStr">
        <is>
          <t>each</t>
        </is>
      </c>
      <c r="J111" t="inlineStr">
        <is>
          <t>In hand</t>
        </is>
      </c>
    </row>
    <row r="112">
      <c r="A112" t="inlineStr">
        <is>
          <t>SHP-004</t>
        </is>
      </c>
      <c r="B112" t="inlineStr">
        <is>
          <t>Shop supplies</t>
        </is>
      </c>
      <c r="C112" t="n">
        <v>1</v>
      </c>
      <c r="D112" t="inlineStr">
        <is>
          <t>Metric feeler gauge set</t>
        </is>
      </c>
      <c r="E112" t="inlineStr">
        <is>
          <t>Source-slit blade spacing</t>
        </is>
      </c>
      <c r="F112" t="inlineStr">
        <is>
          <t>Amazon</t>
        </is>
      </c>
      <c r="G112" t="inlineStr">
        <is>
          <t>B07XPD9L1C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§7.4</t>
        </is>
      </c>
    </row>
    <row r="113">
      <c r="A113" t="inlineStr">
        <is>
          <t>SHP-005</t>
        </is>
      </c>
      <c r="B113" t="inlineStr">
        <is>
          <t>Shop supplies</t>
        </is>
      </c>
      <c r="C113" t="n">
        <v>1</v>
      </c>
      <c r="D113" t="inlineStr">
        <is>
          <t>M2 tap</t>
        </is>
      </c>
      <c r="E113" t="inlineStr">
        <is>
          <t>LED board mounting into SM1CP2M cap</t>
        </is>
      </c>
      <c r="F113" t="inlineStr">
        <is>
          <t>McMaster</t>
        </is>
      </c>
      <c r="G113" t="inlineStr">
        <is>
          <t>8305A78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§6.4</t>
        </is>
      </c>
      <c r="L113" t="inlineStr">
        <is>
          <t>Plug chamfer; sufficient for the through M2 holes.</t>
        </is>
      </c>
    </row>
    <row r="114">
      <c r="A114" t="inlineStr">
        <is>
          <t>SHP-006</t>
        </is>
      </c>
      <c r="B114" t="inlineStr">
        <is>
          <t>Shop supplies</t>
        </is>
      </c>
      <c r="C114" t="n">
        <v>1</v>
      </c>
      <c r="D114" t="inlineStr">
        <is>
          <t>M2 tap drill, 1.6mm</t>
        </is>
      </c>
      <c r="E114" t="inlineStr">
        <is>
          <t>LED mounting</t>
        </is>
      </c>
      <c r="F114" t="inlineStr">
        <is>
          <t>McMaster</t>
        </is>
      </c>
      <c r="G114" t="inlineStr">
        <is>
          <t>2979N13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§6.4</t>
        </is>
      </c>
    </row>
    <row r="115">
      <c r="A115" t="inlineStr">
        <is>
          <t>SHP-011</t>
        </is>
      </c>
      <c r="B115" t="inlineStr">
        <is>
          <t>Shop supplies</t>
        </is>
      </c>
      <c r="C115" t="n">
        <v>1</v>
      </c>
      <c r="D115" t="inlineStr">
        <is>
          <t>Loctite 4061 cyanoacrylate adhesive, 0.7 fl. oz., low viscosity (~20 cP)</t>
        </is>
      </c>
      <c r="E115" t="inlineStr">
        <is>
          <t>Plywood fiber conditioning and localized tack bonds</t>
        </is>
      </c>
      <c r="F115" t="inlineStr">
        <is>
          <t>McMaster</t>
        </is>
      </c>
      <c r="G115" t="inlineStr">
        <is>
          <t>1818A45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§§8.3, 8.4, 8.7, 10.4</t>
        </is>
      </c>
      <c r="L115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16">
      <c r="A116" t="inlineStr">
        <is>
          <t>SHP-012</t>
        </is>
      </c>
      <c r="B116" t="inlineStr">
        <is>
          <t>Shop supplies</t>
        </is>
      </c>
      <c r="C116" t="n">
        <v>1</v>
      </c>
      <c r="D116" t="inlineStr">
        <is>
          <t>UHMW Sheet 1/8" x 12" x 12"</t>
        </is>
      </c>
      <c r="E116" t="inlineStr">
        <is>
          <t>Mirror mount releasing assembly surface</t>
        </is>
      </c>
      <c r="F116" t="inlineStr">
        <is>
          <t>US Plastics</t>
        </is>
      </c>
      <c r="G116" t="inlineStr">
        <is>
          <t>46489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§10.6</t>
        </is>
      </c>
    </row>
    <row r="117">
      <c r="A117" t="inlineStr">
        <is>
          <t>SHP-014</t>
        </is>
      </c>
      <c r="B117" t="inlineStr">
        <is>
          <t>Shop supplies</t>
        </is>
      </c>
      <c r="C117" t="n">
        <v>1</v>
      </c>
      <c r="D117" t="inlineStr">
        <is>
          <t>West System G/Flex 650 Epoxy Adhesive, 2 x 4 oz</t>
        </is>
      </c>
      <c r="E117" t="inlineStr">
        <is>
          <t>Mirror cell adjuster sleeves, spring seat washer tack</t>
        </is>
      </c>
      <c r="F117" t="inlineStr">
        <is>
          <t>Amazon</t>
        </is>
      </c>
      <c r="G117" t="inlineStr">
        <is>
          <t>B002IZFPQE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§10.2</t>
        </is>
      </c>
    </row>
    <row r="118">
      <c r="A118" t="inlineStr">
        <is>
          <t>SHP-015</t>
        </is>
      </c>
      <c r="B118" t="inlineStr">
        <is>
          <t>Shop supplies</t>
        </is>
      </c>
      <c r="C118" t="n">
        <v>1</v>
      </c>
      <c r="D118" t="inlineStr">
        <is>
          <t>Silicone grease, clear, NLGI 1</t>
        </is>
      </c>
      <c r="E118" t="inlineStr">
        <is>
          <t>PLA carriage sliding-interface lubricant</t>
        </is>
      </c>
      <c r="F118" t="inlineStr">
        <is>
          <t>McMaster</t>
        </is>
      </c>
      <c r="G118" t="inlineStr">
        <is>
          <t>1418K51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§8.4</t>
        </is>
      </c>
      <c r="L118" t="inlineStr">
        <is>
          <t>Use only a trace film on dressed PLA-on-PLA sliding interfaces.</t>
        </is>
      </c>
    </row>
    <row r="119">
      <c r="A119" t="inlineStr">
        <is>
          <t>SHP-016</t>
        </is>
      </c>
      <c r="B119" t="inlineStr">
        <is>
          <t>Shop supplies</t>
        </is>
      </c>
      <c r="C119" t="n">
        <v>1</v>
      </c>
      <c r="D119" t="inlineStr">
        <is>
          <t>Dynatex 159375 White Lithium Grease NLGI 2</t>
        </is>
      </c>
      <c r="E119" t="inlineStr">
        <is>
          <t>Light grease for mirror-cell spherical washer interfaces</t>
        </is>
      </c>
      <c r="F119" t="inlineStr">
        <is>
          <t>Amazon</t>
        </is>
      </c>
      <c r="G119" t="inlineStr">
        <is>
          <t>B009XE8M3G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§10.4</t>
        </is>
      </c>
      <c r="L119" t="inlineStr">
        <is>
          <t>Small tube to transport with the apparatus.</t>
        </is>
      </c>
    </row>
    <row r="120">
      <c r="A120" t="inlineStr">
        <is>
          <t>SHP-017</t>
        </is>
      </c>
      <c r="B120" t="inlineStr">
        <is>
          <t>Shop supplies</t>
        </is>
      </c>
      <c r="C120" t="n">
        <v>1</v>
      </c>
      <c r="D120" t="inlineStr">
        <is>
          <t>1/2" Forstner bit, standard-point smooth-finish</t>
        </is>
      </c>
      <c r="E120" t="inlineStr">
        <is>
          <t>Spherical-washer counterbores</t>
        </is>
      </c>
      <c r="F120" t="inlineStr">
        <is>
          <t>McMaster</t>
        </is>
      </c>
      <c r="G120" t="inlineStr">
        <is>
          <t>2890A56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§10.4</t>
        </is>
      </c>
      <c r="L120" t="inlineStr">
        <is>
          <t>Use in drill press for shallow close-fit spherical-washer sockets; test in scrap Baltic birch before cutting final plate.</t>
        </is>
      </c>
    </row>
    <row r="121">
      <c r="A121" t="inlineStr">
        <is>
          <t>SHP-018</t>
        </is>
      </c>
      <c r="B121" t="inlineStr">
        <is>
          <t>Shop supplies</t>
        </is>
      </c>
      <c r="C121" t="n">
        <v>1</v>
      </c>
      <c r="D121" t="inlineStr">
        <is>
          <t>5/8" Forstner bit, standard-point smooth-finish</t>
        </is>
      </c>
      <c r="E121" t="inlineStr">
        <is>
          <t>Spring-seat washer counterbores</t>
        </is>
      </c>
      <c r="F121" t="inlineStr">
        <is>
          <t>McMaster</t>
        </is>
      </c>
      <c r="G121" t="inlineStr">
        <is>
          <t>2890A58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§10.3</t>
        </is>
      </c>
      <c r="L121" t="inlineStr">
        <is>
          <t>Use in drill press for shallow spring-seat-washer registration counterbores; test depth/fit in scrap first.</t>
        </is>
      </c>
    </row>
    <row r="122">
      <c r="A122" t="inlineStr">
        <is>
          <t>SHP-019</t>
        </is>
      </c>
      <c r="B122" t="inlineStr">
        <is>
          <t>Shop supplies</t>
        </is>
      </c>
      <c r="C122" t="n">
        <v>1</v>
      </c>
      <c r="D122" t="inlineStr">
        <is>
          <t>M4 × 0.7 high-speed-steel plug-chamfer hex-bit tap</t>
        </is>
      </c>
      <c r="E122" t="inlineStr">
        <is>
          <t>Tap CAMVATE quick-release plate mounting holes</t>
        </is>
      </c>
      <c r="F122" t="inlineStr">
        <is>
          <t>McMaster</t>
        </is>
      </c>
      <c r="G122" t="inlineStr">
        <is>
          <t>1021N23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§10.9</t>
        </is>
      </c>
      <c r="L122" t="inlineStr">
        <is>
          <t>Use with the 3.3 mm tap drill (SHP-020); hole locations in §10.9.</t>
        </is>
      </c>
    </row>
    <row r="123">
      <c r="A123" t="inlineStr">
        <is>
          <t>SHP-020</t>
        </is>
      </c>
      <c r="B123" t="inlineStr">
        <is>
          <t>Shop supplies</t>
        </is>
      </c>
      <c r="C123" t="n">
        <v>1</v>
      </c>
      <c r="D123" t="inlineStr">
        <is>
          <t>3.3 mm black-oxide HSS jobber-length drill bit</t>
        </is>
      </c>
      <c r="E123" t="inlineStr">
        <is>
          <t>M4 × 0.7 tap drill for CAMVATE quick-release plate; M3 heatsink clearance holes</t>
        </is>
      </c>
      <c r="F123" t="inlineStr">
        <is>
          <t>McMaster</t>
        </is>
      </c>
      <c r="G123" t="inlineStr">
        <is>
          <t>2958A64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§§6.4, 10.9</t>
        </is>
      </c>
      <c r="L123" t="inlineStr">
        <is>
          <t>Standard 3.3 mm tap-drill size for M4 × 0.7. Also drills the Ø3.3 M3 clearance holes in the heatsink base (§6.4).</t>
        </is>
      </c>
    </row>
    <row r="124">
      <c r="A124" t="inlineStr">
        <is>
          <t>SHP-021</t>
        </is>
      </c>
      <c r="B124" t="inlineStr">
        <is>
          <t>Shop supplies</t>
        </is>
      </c>
      <c r="C124" t="n">
        <v>1</v>
      </c>
      <c r="D124" t="inlineStr">
        <is>
          <t>Loctite 243 medium-strength removable threadlocker, 0.34 fl. oz.</t>
        </is>
      </c>
      <c r="E124" t="inlineStr">
        <is>
          <t>Removable thread retention for quick-release plate mounting screws</t>
        </is>
      </c>
      <c r="F124" t="inlineStr">
        <is>
          <t>McMaster</t>
        </is>
      </c>
      <c r="G124" t="inlineStr">
        <is>
          <t>91458A115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§10.9</t>
        </is>
      </c>
      <c r="L124" t="inlineStr">
        <is>
          <t>Apply only after the screw fit is confirmed (the hole sizes are provisional, §10.9); preferred over high-strength Loctite 271 for this serviceable joint.</t>
        </is>
      </c>
    </row>
    <row r="125">
      <c r="A125" t="inlineStr">
        <is>
          <t>SHP-022</t>
        </is>
      </c>
      <c r="B125" t="inlineStr">
        <is>
          <t>Shop supplies</t>
        </is>
      </c>
      <c r="C125" t="n">
        <v>1</v>
      </c>
      <c r="D125" t="inlineStr">
        <is>
          <t>Rosco Photofoil matte black aluminum wrap, 12"x10'</t>
        </is>
      </c>
      <c r="E125" t="inlineStr">
        <is>
          <t>Opaque masking / thin-sheet cutoff experiments</t>
        </is>
      </c>
      <c r="F125" t="inlineStr">
        <is>
          <t>Fullcompass</t>
        </is>
      </c>
      <c r="G125" t="inlineStr">
        <is>
          <t>01001-1210</t>
        </is>
      </c>
      <c r="H125" t="n">
        <v>1</v>
      </c>
      <c r="I125" t="inlineStr">
        <is>
          <t>pack</t>
        </is>
      </c>
      <c r="J125" t="inlineStr">
        <is>
          <t>In hand</t>
        </is>
      </c>
      <c r="K125" t="inlineStr">
        <is>
          <t>§§8.6, 8.7</t>
        </is>
      </c>
      <c r="L125" t="inlineStr">
        <is>
          <t>Retained as general shop stock for opaque masking and thin-sheet cutoff experiments.</t>
        </is>
      </c>
    </row>
    <row r="126">
      <c r="A126" t="inlineStr">
        <is>
          <t>SHP-023</t>
        </is>
      </c>
      <c r="B126" t="inlineStr">
        <is>
          <t>Shop supplies</t>
        </is>
      </c>
      <c r="C126" t="n">
        <v>1</v>
      </c>
      <c r="D126" t="inlineStr">
        <is>
          <t>M3 × 0.5 high-speed-steel plug-chamfer tap, 5/8" thread length</t>
        </is>
      </c>
      <c r="E126" t="inlineStr">
        <is>
          <t>Tap through M3 heatsink-screw holes in SM1CP2M cap</t>
        </is>
      </c>
      <c r="F126" t="inlineStr">
        <is>
          <t>McMaster</t>
        </is>
      </c>
      <c r="G126" t="inlineStr">
        <is>
          <t>8305A32</t>
        </is>
      </c>
      <c r="H126" t="n">
        <v>1</v>
      </c>
      <c r="I126" t="inlineStr">
        <is>
          <t>each</t>
        </is>
      </c>
      <c r="J126" t="inlineStr">
        <is>
          <t>In hand</t>
        </is>
      </c>
      <c r="K126" t="inlineStr">
        <is>
          <t>§6.4</t>
        </is>
      </c>
      <c r="L126" t="inlineStr">
        <is>
          <t>All holes are through holes, so a plug chamfer is enough; no bottoming tap needed. Use with the 2.5 mm tap drill (SHP-025).</t>
        </is>
      </c>
    </row>
    <row r="127">
      <c r="A127" t="inlineStr">
        <is>
          <t>SHP-025</t>
        </is>
      </c>
      <c r="B127" t="inlineStr">
        <is>
          <t>Shop supplies</t>
        </is>
      </c>
      <c r="C127" t="n">
        <v>1</v>
      </c>
      <c r="D127" t="inlineStr">
        <is>
          <t>2.5 mm TiN-coated HSS short-length drill bit, 43 mm overall</t>
        </is>
      </c>
      <c r="E127" t="inlineStr">
        <is>
          <t>M3 tap drill for through holes in SM1CP2M cap</t>
        </is>
      </c>
      <c r="F127" t="inlineStr">
        <is>
          <t>McMaster</t>
        </is>
      </c>
      <c r="G127" t="inlineStr">
        <is>
          <t>2979N15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§6.4</t>
        </is>
      </c>
      <c r="L127" t="inlineStr">
        <is>
          <t>Short-length stub drill for rigid drilling in the thin cap; same series as the 1.6 mm drill SHP-006.</t>
        </is>
      </c>
    </row>
    <row r="128">
      <c r="A128" t="inlineStr">
        <is>
          <t>SHP-026</t>
        </is>
      </c>
      <c r="B128" t="inlineStr">
        <is>
          <t>Shop supplies</t>
        </is>
      </c>
      <c r="C128" t="n">
        <v>1</v>
      </c>
      <c r="D128" t="inlineStr">
        <is>
          <t>2mm Premium High Speed Steel Jobber Length Drill, 10 pack</t>
        </is>
      </c>
      <c r="E128" t="inlineStr">
        <is>
          <t>Lead holes through SM1CP2M cap and heatsink base</t>
        </is>
      </c>
      <c r="F128" t="inlineStr">
        <is>
          <t>Amazon</t>
        </is>
      </c>
      <c r="G128" t="inlineStr">
        <is>
          <t>B07211L28S</t>
        </is>
      </c>
      <c r="H128" t="n">
        <v>10</v>
      </c>
      <c r="I128" t="inlineStr">
        <is>
          <t>pack</t>
        </is>
      </c>
      <c r="J128" t="inlineStr">
        <is>
          <t>In hand</t>
        </is>
      </c>
      <c r="K128" t="inlineStr">
        <is>
          <t>§6.4</t>
        </is>
      </c>
      <c r="L128" t="inlineStr">
        <is>
          <t>Lead holes (§6.4): the pigtail wire measures about 1.7 mm over its insulation. McMaster alternative if wanted later: 2979N14, 2.0 mm uncoated HSS short-length drill bit, 38 mm overall (same series as the 1.6 mm drill SHP-006).</t>
        </is>
      </c>
    </row>
    <row r="129">
      <c r="A129" t="inlineStr">
        <is>
          <t>SHP-027</t>
        </is>
      </c>
      <c r="B129" t="inlineStr">
        <is>
          <t>Shop supplies</t>
        </is>
      </c>
      <c r="C129" t="n">
        <v>1</v>
      </c>
      <c r="D129" t="inlineStr">
        <is>
          <t>Heat-set insert installation tip set, 8 pieces (M2 to M8) with 1/4 in shank adapter</t>
        </is>
      </c>
      <c r="E129" t="inlineStr">
        <is>
          <t>Fits a Hakko 900M-style iron; M5 tip sets the CAM-005 inserts</t>
        </is>
      </c>
      <c r="F129" t="inlineStr">
        <is>
          <t>McMaster</t>
        </is>
      </c>
      <c r="G129" t="inlineStr">
        <is>
          <t>8915N111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§9.7</t>
        </is>
      </c>
      <c r="L129" t="inlineStr">
        <is>
          <t>Listed for Hakko 900M. The M5 tip has a female threaded connection and mounts through the included adapter, which fits the Hakko iron (confirmed). Replaces the 1/4 in plug tip UNU-011. Used with the Hakko iron SHP-028; set PLA installation near 200–230 °C (typical for PLA; confirm on a scrap print), no higher than 250 °C.</t>
        </is>
      </c>
    </row>
    <row r="130">
      <c r="A130" t="inlineStr">
        <is>
          <t>SHP-028</t>
        </is>
      </c>
      <c r="B130" t="inlineStr">
        <is>
          <t>Shop supplies</t>
        </is>
      </c>
      <c r="C130" t="n">
        <v>1</v>
      </c>
      <c r="D130" t="inlineStr">
        <is>
          <t>Hakko FX888DX-10 soldering station</t>
        </is>
      </c>
      <c r="E130" t="inlineStr">
        <is>
          <t>Heat-set insert installation (CAM-005)</t>
        </is>
      </c>
      <c r="G130" t="inlineStr">
        <is>
          <t>FX888DX-10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§9.7</t>
        </is>
      </c>
      <c r="L130" t="inlineStr">
        <is>
          <t>Vendor not recorded here. Takes Hakko T18 (900M-style) tips. Drives the SHP-027 tip set; the SHP-027 adapter fits the iron (confirmed).</t>
        </is>
      </c>
    </row>
    <row r="131">
      <c r="A131" t="inlineStr">
        <is>
          <t>SHP-029</t>
        </is>
      </c>
      <c r="B131" t="inlineStr">
        <is>
          <t>Shop supplies</t>
        </is>
      </c>
      <c r="C131" t="n">
        <v>1</v>
      </c>
      <c r="D131" t="inlineStr">
        <is>
          <t>Hole-starting cobalt-steel drill bit, uncoated, 90° point, 1/8" size</t>
        </is>
      </c>
      <c r="E131" t="inlineStr">
        <is>
          <t>Spot hole locations in the SM1CP2M cap and heatsink base before drilling</t>
        </is>
      </c>
      <c r="F131" t="inlineStr">
        <is>
          <t>McMaster</t>
        </is>
      </c>
      <c r="G131" t="inlineStr">
        <is>
          <t>27445A201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§6.4</t>
        </is>
      </c>
      <c r="L131" t="inlineStr">
        <is>
          <t>1/8" shank fits the Dremel 4486 chuck (1/8" maximum). Use before the 1.6, 2.0, 2.5, and 3.3 mm drills.</t>
        </is>
      </c>
    </row>
    <row r="132">
      <c r="A132" t="inlineStr">
        <is>
          <t>SHP-030</t>
        </is>
      </c>
      <c r="B132" t="inlineStr">
        <is>
          <t>Shop supplies</t>
        </is>
      </c>
      <c r="C132" t="n">
        <v>1</v>
      </c>
      <c r="D132" t="inlineStr">
        <is>
          <t>Center drill, high-speed steel, 60° countersink, trade size 1, 1-1/4" overall length</t>
        </is>
      </c>
      <c r="E132" t="inlineStr">
        <is>
          <t>Backup hole spotter; spots the cap and heatsink holes</t>
        </is>
      </c>
      <c r="F132" t="inlineStr">
        <is>
          <t>McMaster</t>
        </is>
      </c>
      <c r="G132" t="inlineStr">
        <is>
          <t>2915A11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§6.4</t>
        </is>
      </c>
      <c r="L132" t="inlineStr">
        <is>
          <t>3/64" pilot, 1/8" body; fits the Dremel 4486 chuck. Spare for SHP-029.</t>
        </is>
      </c>
    </row>
    <row r="133">
      <c r="A133" t="inlineStr">
        <is>
          <t>SHP-031</t>
        </is>
      </c>
      <c r="B133" t="inlineStr">
        <is>
          <t>Shop supplies</t>
        </is>
      </c>
      <c r="C133" t="n">
        <v>2</v>
      </c>
      <c r="D133" t="inlineStr">
        <is>
          <t>Metric press-fit drill bushing, 1.6 mm ID, 4 mm OD, 6 mm long, chamfer on one end</t>
        </is>
      </c>
      <c r="E133" t="inlineStr">
        <is>
          <t>M2 tap-drill positions in the drilling fixture plate</t>
        </is>
      </c>
      <c r="F133" t="inlineStr">
        <is>
          <t>McMaster</t>
        </is>
      </c>
      <c r="G133" t="inlineStr">
        <is>
          <t>96990A132</t>
        </is>
      </c>
      <c r="H133" t="n">
        <v>1</v>
      </c>
      <c r="I133" t="inlineStr">
        <is>
          <t>each</t>
        </is>
      </c>
      <c r="J133" t="inlineStr">
        <is>
          <t>To procure</t>
        </is>
      </c>
      <c r="K133" t="inlineStr">
        <is>
          <t>§6.8</t>
        </is>
      </c>
      <c r="L133" t="inlineStr">
        <is>
          <t>Hardened steel, headless. Pressed into the printed bushing plate (SHP-034). No spare in the quantity.</t>
        </is>
      </c>
    </row>
    <row r="134">
      <c r="A134" t="inlineStr">
        <is>
          <t>SHP-032</t>
        </is>
      </c>
      <c r="B134" t="inlineStr">
        <is>
          <t>Shop supplies</t>
        </is>
      </c>
      <c r="C134" t="n">
        <v>3</v>
      </c>
      <c r="D134" t="inlineStr">
        <is>
          <t>Metric press-fit drill bushing, 2.5 mm ID, 5 mm OD, 6 mm long, chamfer on one end</t>
        </is>
      </c>
      <c r="E134" t="inlineStr">
        <is>
          <t>M3 tap-drill positions in the cap, M3 pilot positions in the heatsink</t>
        </is>
      </c>
      <c r="F134" t="inlineStr">
        <is>
          <t>McMaster</t>
        </is>
      </c>
      <c r="G134" t="inlineStr">
        <is>
          <t>96990A147</t>
        </is>
      </c>
      <c r="H134" t="n">
        <v>1</v>
      </c>
      <c r="I134" t="inlineStr">
        <is>
          <t>each</t>
        </is>
      </c>
      <c r="J134" t="inlineStr">
        <is>
          <t>To procure</t>
        </is>
      </c>
      <c r="K134" t="inlineStr">
        <is>
          <t>§6.8</t>
        </is>
      </c>
      <c r="L134" t="inlineStr">
        <is>
          <t>Hardened steel, headless. Pressed into the printed bushing plate (SHP-034). No spare in the quantity.</t>
        </is>
      </c>
    </row>
    <row r="135">
      <c r="A135" t="inlineStr">
        <is>
          <t>SHP-033</t>
        </is>
      </c>
      <c r="B135" t="inlineStr">
        <is>
          <t>Shop supplies</t>
        </is>
      </c>
      <c r="C135" t="n">
        <v>2</v>
      </c>
      <c r="D135" t="inlineStr">
        <is>
          <t>Metric press-fit drill bushing, 2 mm ID, 5 mm OD, 6 mm long, chamfer on one end</t>
        </is>
      </c>
      <c r="E135" t="inlineStr">
        <is>
          <t>Lead-hole positions in the cap and the heatsink base</t>
        </is>
      </c>
      <c r="F135" t="inlineStr">
        <is>
          <t>McMaster</t>
        </is>
      </c>
      <c r="G135" t="inlineStr">
        <is>
          <t>96990A139</t>
        </is>
      </c>
      <c r="H135" t="n">
        <v>1</v>
      </c>
      <c r="I135" t="inlineStr">
        <is>
          <t>each</t>
        </is>
      </c>
      <c r="J135" t="inlineStr">
        <is>
          <t>To procure</t>
        </is>
      </c>
      <c r="K135" t="inlineStr">
        <is>
          <t>§6.8</t>
        </is>
      </c>
      <c r="L135" t="inlineStr">
        <is>
          <t>Hardened steel, headless. Pressed into the printed bushing plate (SHP-034). No spare in the quantity.</t>
        </is>
      </c>
    </row>
    <row r="136">
      <c r="A136" t="inlineStr">
        <is>
          <t>SHP-034</t>
        </is>
      </c>
      <c r="B136" t="inlineStr">
        <is>
          <t>Shop supplies</t>
        </is>
      </c>
      <c r="C136" t="n">
        <v>1</v>
      </c>
      <c r="D136" t="inlineStr">
        <is>
          <t>PLA printed LED-module drilling fixture</t>
        </is>
      </c>
      <c r="E136" t="inlineStr">
        <is>
          <t>Bushing plate, cap nest, and heatsink nest for drilling the SM1CP2M cap and CN40-40B heatsink</t>
        </is>
      </c>
      <c r="J136" t="inlineStr">
        <is>
          <t>CAD ready</t>
        </is>
      </c>
      <c r="K136" t="inlineStr">
        <is>
          <t>§6.8</t>
        </is>
      </c>
      <c r="L136" t="inlineStr">
        <is>
          <t>Set of three prints, plus a bore coupon to print first (sets the bushing bore size). Fastened with five M3 × 12 mm screws (four plate corners, one cap clamp) from the common 100-pack (SLT-007), into five M3 heat-set inserts (SHP-035) set in the nests.</t>
        </is>
      </c>
    </row>
    <row r="137">
      <c r="A137" t="inlineStr">
        <is>
          <t>SHP-035</t>
        </is>
      </c>
      <c r="B137" t="inlineStr">
        <is>
          <t>Shop supplies</t>
        </is>
      </c>
      <c r="C137" t="n">
        <v>5</v>
      </c>
      <c r="D137" t="inlineStr">
        <is>
          <t>Brass flanged heat-set threaded inserts for plastic, M3 × 0.5 mm, 5.7 mm installed length</t>
        </is>
      </c>
      <c r="E137" t="inlineStr">
        <is>
          <t>Plate screws (4) and cap clamp screw (1) in the drilling fixture nests</t>
        </is>
      </c>
      <c r="F137" t="inlineStr">
        <is>
          <t>McMaster</t>
        </is>
      </c>
      <c r="G137" t="inlineStr">
        <is>
          <t>97171A310</t>
        </is>
      </c>
      <c r="H137" t="n">
        <v>50</v>
      </c>
      <c r="I137" t="inlineStr">
        <is>
          <t>pack</t>
        </is>
      </c>
      <c r="J137" t="inlineStr">
        <is>
          <t>To procure</t>
        </is>
      </c>
      <c r="K137" t="inlineStr">
        <is>
          <t>§6.8</t>
        </is>
      </c>
      <c r="L137" t="inlineStr">
        <is>
          <t>Ø4 mm hole, Ø5.5 mm flange recessed. Set with the M3 tip of the SHP-027 tip set on the Hakko iron (SHP-028); the M3 tip is not yet confirmed to be in the set. Forty-five spare.</t>
        </is>
      </c>
    </row>
    <row r="138">
      <c r="A138" t="inlineStr">
        <is>
          <t>SHP-036</t>
        </is>
      </c>
      <c r="B138" t="inlineStr">
        <is>
          <t>Shop supplies</t>
        </is>
      </c>
      <c r="C138" t="n">
        <v>2</v>
      </c>
      <c r="D138" t="inlineStr">
        <is>
          <t>5/16"-18 × 1-1/4" 18-8 stainless square-neck carriage bolt</t>
        </is>
      </c>
      <c r="E138" t="inlineStr">
        <is>
          <t>Drilling fixture mounting: bolts in the drill-press base slots</t>
        </is>
      </c>
      <c r="F138" t="inlineStr">
        <is>
          <t>McMaster</t>
        </is>
      </c>
      <c r="G138" t="inlineStr">
        <is>
          <t>92356A589</t>
        </is>
      </c>
      <c r="H138" t="n">
        <v>10</v>
      </c>
      <c r="I138" t="inlineStr">
        <is>
          <t>pack</t>
        </is>
      </c>
      <c r="J138" t="inlineStr">
        <is>
          <t>To procure</t>
        </is>
      </c>
      <c r="K138" t="inlineStr">
        <is>
          <t>§6.8</t>
        </is>
      </c>
      <c r="L138" t="inlineStr">
        <is>
          <t>Head under the base, 0.32" square neck in the 3/8" base slot; one per nest ear, two used at a time.</t>
        </is>
      </c>
    </row>
    <row r="139">
      <c r="A139" t="inlineStr">
        <is>
          <t>SHP-037</t>
        </is>
      </c>
      <c r="B139" t="inlineStr">
        <is>
          <t>Shop supplies</t>
        </is>
      </c>
      <c r="C139" t="n">
        <v>2</v>
      </c>
      <c r="D139" t="inlineStr">
        <is>
          <t>5/16"-18 18-8 stainless flanged knurled-head thumb nut</t>
        </is>
      </c>
      <c r="E139" t="inlineStr">
        <is>
          <t>Drilling fixture mounting: clamp the nest ears from the top</t>
        </is>
      </c>
      <c r="F139" t="inlineStr">
        <is>
          <t>McMaster</t>
        </is>
      </c>
      <c r="G139" t="inlineStr">
        <is>
          <t>95150A180</t>
        </is>
      </c>
      <c r="H139" t="n">
        <v>1</v>
      </c>
      <c r="I139" t="inlineStr">
        <is>
          <t>each</t>
        </is>
      </c>
      <c r="J139" t="inlineStr">
        <is>
          <t>To procure</t>
        </is>
      </c>
      <c r="K139" t="inlineStr">
        <is>
          <t>§6.8</t>
        </is>
      </c>
      <c r="L139" t="inlineStr">
        <is>
          <t>5/8" knurled head, 17/32" collar on the washer.</t>
        </is>
      </c>
    </row>
    <row r="140">
      <c r="A140" t="inlineStr">
        <is>
          <t>SHP-038</t>
        </is>
      </c>
      <c r="B140" t="inlineStr">
        <is>
          <t>Shop supplies</t>
        </is>
      </c>
      <c r="C140" t="n">
        <v>2</v>
      </c>
      <c r="D140" t="inlineStr">
        <is>
          <t>5/16" SAE washer, 0.344" ID × 0.688" OD, 18-8 SS black oxide</t>
        </is>
      </c>
      <c r="E140" t="inlineStr">
        <is>
          <t>Drilling fixture mounting: under the thumb nuts on the nest ears</t>
        </is>
      </c>
      <c r="F140" t="inlineStr">
        <is>
          <t>McMaster</t>
        </is>
      </c>
      <c r="G140" t="inlineStr">
        <is>
          <t>96659A134</t>
        </is>
      </c>
      <c r="H140" t="n">
        <v>25</v>
      </c>
      <c r="I140" t="inlineStr">
        <is>
          <t>pack</t>
        </is>
      </c>
      <c r="J140" t="inlineStr">
        <is>
          <t>In hand</t>
        </is>
      </c>
      <c r="K140" t="inlineStr">
        <is>
          <t>§6.8</t>
        </is>
      </c>
      <c r="L140" t="inlineStr">
        <is>
          <t>Shared 25-pack with MIR-013 (eight used there).</t>
        </is>
      </c>
    </row>
    <row r="141">
      <c r="A141" t="inlineStr">
        <is>
          <t>UNU-001</t>
        </is>
      </c>
      <c r="B141" t="inlineStr">
        <is>
          <t>Unused</t>
        </is>
      </c>
      <c r="D141" t="inlineStr">
        <is>
          <t>Heatsink, 6063-T5 non-anodized aluminum, Ø55 mm x 20 mm.</t>
        </is>
      </c>
      <c r="E141" t="inlineStr">
        <is>
          <t>Existing spare stock; former LED heatsink</t>
        </is>
      </c>
      <c r="F141" t="inlineStr">
        <is>
          <t>HeatsinkOnline</t>
        </is>
      </c>
      <c r="G141" t="inlineStr">
        <is>
          <t>64ASL-8-55</t>
        </is>
      </c>
      <c r="H141" t="n">
        <v>4</v>
      </c>
      <c r="I141" t="inlineStr">
        <is>
          <t>each</t>
        </is>
      </c>
      <c r="J141" t="inlineStr">
        <is>
          <t>In hand</t>
        </is>
      </c>
      <c r="L141" t="inlineStr">
        <is>
          <t>No longer allocated after the threaded SM1 LED module decision; replaced by LGT-018 (Alpha CN40-40B). Four in hand retained as spares.</t>
        </is>
      </c>
    </row>
    <row r="142">
      <c r="A142" t="inlineStr">
        <is>
          <t>UNU-002</t>
        </is>
      </c>
      <c r="B142" t="inlineStr">
        <is>
          <t>Unused</t>
        </is>
      </c>
      <c r="D142" t="inlineStr">
        <is>
          <t>SM1 lens tube, 1.50" Thread Depth</t>
        </is>
      </c>
      <c r="E142" t="inlineStr">
        <is>
          <t>Existing stock; former carriage-tube allocation</t>
        </is>
      </c>
      <c r="F142" t="inlineStr">
        <is>
          <t>Thorlabs</t>
        </is>
      </c>
      <c r="G142" t="inlineStr">
        <is>
          <t>SM1L15</t>
        </is>
      </c>
      <c r="H142" t="n">
        <v>2</v>
      </c>
      <c r="I142" t="inlineStr">
        <is>
          <t>each</t>
        </is>
      </c>
      <c r="J142" t="inlineStr">
        <is>
          <t>In hand</t>
        </is>
      </c>
      <c r="L142" t="inlineStr">
        <is>
          <t>No longer allocated: the cutoff carriage mounts in the SM1RC/M on an integral printed spigot (§8.1); both tubes in hand are spare.</t>
        </is>
      </c>
    </row>
    <row r="143">
      <c r="A143" t="inlineStr">
        <is>
          <t>UNU-003</t>
        </is>
      </c>
      <c r="B143" t="inlineStr">
        <is>
          <t>Unused</t>
        </is>
      </c>
      <c r="D143" t="inlineStr">
        <is>
          <t>4 mm × 45 mm shoulder screw, 18-8 SS</t>
        </is>
      </c>
      <c r="E143" t="inlineStr">
        <is>
          <t>Existing stock; former spring guide / retract handle</t>
        </is>
      </c>
      <c r="F143" t="inlineStr">
        <is>
          <t>McMaster</t>
        </is>
      </c>
      <c r="G143" t="inlineStr">
        <is>
          <t>91273A377</t>
        </is>
      </c>
      <c r="H143" t="n">
        <v>2</v>
      </c>
      <c r="I143" t="inlineStr">
        <is>
          <t>each</t>
        </is>
      </c>
      <c r="J143" t="inlineStr">
        <is>
          <t>In hand</t>
        </is>
      </c>
      <c r="L143" t="inlineStr">
        <is>
          <t>No longer allocated: the spring seats in printed cups and the plunger retracts by a thumb tab (§8.5); both screws in hand are spare.</t>
        </is>
      </c>
    </row>
    <row r="144">
      <c r="A144" t="inlineStr">
        <is>
          <t>UNU-005</t>
        </is>
      </c>
      <c r="B144" t="inlineStr">
        <is>
          <t>Unused</t>
        </is>
      </c>
      <c r="D144" t="inlineStr">
        <is>
          <t>5/16" × 1-1/2" hex-drive flat-head screw, 316 SS</t>
        </is>
      </c>
      <c r="E144" t="inlineStr">
        <is>
          <t>Existing alternate/fallback bracket screw stock</t>
        </is>
      </c>
      <c r="F144" t="inlineStr">
        <is>
          <t>McMaster</t>
        </is>
      </c>
      <c r="G144" t="inlineStr">
        <is>
          <t>90585A587</t>
        </is>
      </c>
      <c r="H144" t="n">
        <v>5</v>
      </c>
      <c r="I144" t="inlineStr">
        <is>
          <t>pack</t>
        </is>
      </c>
      <c r="J144" t="inlineStr">
        <is>
          <t>In hand</t>
        </is>
      </c>
      <c r="L144" t="inlineStr">
        <is>
          <t>Previously baseline bracket screw; retained as in-hand alternate stock after corner-clearance review.</t>
        </is>
      </c>
    </row>
    <row r="145">
      <c r="A145" t="inlineStr">
        <is>
          <t>UNU-006</t>
        </is>
      </c>
      <c r="B145" t="inlineStr">
        <is>
          <t>Unused</t>
        </is>
      </c>
      <c r="D145" t="inlineStr">
        <is>
          <t>1/4"-20 × 1-1/2" flat-head screws</t>
        </is>
      </c>
      <c r="E145" t="inlineStr">
        <is>
          <t>Existing spare stock; former C2564 tripod-interface hardware</t>
        </is>
      </c>
      <c r="F145" t="inlineStr">
        <is>
          <t>McMaster</t>
        </is>
      </c>
      <c r="G145" t="inlineStr">
        <is>
          <t>94518A525</t>
        </is>
      </c>
      <c r="H145" t="n">
        <v>4</v>
      </c>
      <c r="I145" t="inlineStr">
        <is>
          <t>each</t>
        </is>
      </c>
      <c r="J145" t="inlineStr">
        <is>
          <t>In hand</t>
        </is>
      </c>
      <c r="L145" t="inlineStr">
        <is>
          <t>No longer allocated to the active tripod interface after transition to the CAMVATE 577/501/504 quick-release system; retain as in-hand spare hardware.</t>
        </is>
      </c>
    </row>
    <row r="146">
      <c r="A146" t="inlineStr">
        <is>
          <t>UNU-007</t>
        </is>
      </c>
      <c r="B146" t="inlineStr">
        <is>
          <t>Unused</t>
        </is>
      </c>
      <c r="D146" t="inlineStr">
        <is>
          <t>1/4"-20 flex-top locknuts</t>
        </is>
      </c>
      <c r="E146" t="inlineStr">
        <is>
          <t>Existing spare stock; former C2564 tripod-interface hardware</t>
        </is>
      </c>
      <c r="F146" t="inlineStr">
        <is>
          <t>McMaster</t>
        </is>
      </c>
      <c r="G146" t="inlineStr">
        <is>
          <t>91839A123</t>
        </is>
      </c>
      <c r="H146" t="n">
        <v>5</v>
      </c>
      <c r="I146" t="inlineStr">
        <is>
          <t>pack</t>
        </is>
      </c>
      <c r="J146" t="inlineStr">
        <is>
          <t>In hand</t>
        </is>
      </c>
      <c r="L146" t="inlineStr">
        <is>
          <t>No longer allocated to the active tripod interface after transition to the CAMVATE 577/501/504 quick-release system; retain as in-hand spare hardware.</t>
        </is>
      </c>
    </row>
    <row r="147">
      <c r="A147" t="inlineStr">
        <is>
          <t>UNU-008</t>
        </is>
      </c>
      <c r="B147" t="inlineStr">
        <is>
          <t>Unused</t>
        </is>
      </c>
      <c r="D147" t="inlineStr">
        <is>
          <t>1/4" thin washers</t>
        </is>
      </c>
      <c r="E147" t="inlineStr">
        <is>
          <t>Existing spare stock; former C2564 tripod-interface hardware</t>
        </is>
      </c>
      <c r="F147" t="inlineStr">
        <is>
          <t>McMaster</t>
        </is>
      </c>
      <c r="G147" t="inlineStr">
        <is>
          <t>98019A255</t>
        </is>
      </c>
      <c r="H147" t="n">
        <v>10</v>
      </c>
      <c r="I147" t="inlineStr">
        <is>
          <t>pack</t>
        </is>
      </c>
      <c r="J147" t="inlineStr">
        <is>
          <t>In hand</t>
        </is>
      </c>
      <c r="L147" t="inlineStr">
        <is>
          <t>No longer allocated to the active tripod interface after transition to the CAMVATE 577/501/504 quick-release system; retain as in-hand spare hardware.</t>
        </is>
      </c>
    </row>
    <row r="148">
      <c r="A148" t="inlineStr">
        <is>
          <t>UNU-009</t>
        </is>
      </c>
      <c r="B148" t="inlineStr">
        <is>
          <t>Unused</t>
        </is>
      </c>
      <c r="D148" t="inlineStr">
        <is>
          <t>5/16"-18 × 1-3/8" hex-drive flat-head screw, 316 SS</t>
        </is>
      </c>
      <c r="E148" t="inlineStr">
        <is>
          <t>Existing alternate bracket screw stock</t>
        </is>
      </c>
      <c r="F148" t="inlineStr">
        <is>
          <t>McMaster</t>
        </is>
      </c>
      <c r="G148" t="inlineStr">
        <is>
          <t>90585A997</t>
        </is>
      </c>
      <c r="H148" t="n">
        <v>5</v>
      </c>
      <c r="I148" t="inlineStr">
        <is>
          <t>pack</t>
        </is>
      </c>
      <c r="J148" t="inlineStr">
        <is>
          <t>In hand</t>
        </is>
      </c>
      <c r="L148" t="inlineStr">
        <is>
          <t>Former baseline bracket screw; retained as in-hand alternate stock after the change to button-head screws (MIR-026).</t>
        </is>
      </c>
    </row>
    <row r="149">
      <c r="A149" t="inlineStr">
        <is>
          <t>UNU-010</t>
        </is>
      </c>
      <c r="B149" t="inlineStr">
        <is>
          <t>Unused</t>
        </is>
      </c>
      <c r="D149" t="inlineStr">
        <is>
          <t>M4 × 0.7 × 16 mm 90° flat-head hex-drive screw, 18-8 stainless</t>
        </is>
      </c>
      <c r="E149" t="inlineStr">
        <is>
          <t>Existing spare stock; short-length alternative quick-release plate screw</t>
        </is>
      </c>
      <c r="F149" t="inlineStr">
        <is>
          <t>McMaster</t>
        </is>
      </c>
      <c r="G149" t="inlineStr">
        <is>
          <t>92125A194</t>
        </is>
      </c>
      <c r="H149" t="n">
        <v>100</v>
      </c>
      <c r="I149" t="inlineStr">
        <is>
          <t>pack</t>
        </is>
      </c>
      <c r="J149" t="inlineStr">
        <is>
          <t>In hand</t>
        </is>
      </c>
      <c r="L149" t="inlineStr">
        <is>
          <t>Not allocated: the quick-release plate takes the 18 mm screw (MIR-024); this pack is spare.</t>
        </is>
      </c>
    </row>
    <row r="150">
      <c r="A150" t="inlineStr">
        <is>
          <t>UNU-011</t>
        </is>
      </c>
      <c r="B150" t="inlineStr">
        <is>
          <t>Unused</t>
        </is>
      </c>
      <c r="D150" t="inlineStr">
        <is>
          <t>Heat-set installation tip</t>
        </is>
      </c>
      <c r="F150" t="inlineStr">
        <is>
          <t>McMaster</t>
        </is>
      </c>
      <c r="G150" t="inlineStr">
        <is>
          <t>92160A327</t>
        </is>
      </c>
      <c r="H150" t="n">
        <v>1</v>
      </c>
      <c r="I150" t="inlineStr">
        <is>
          <t>each</t>
        </is>
      </c>
      <c r="J150" t="inlineStr">
        <is>
          <t>In hand</t>
        </is>
      </c>
      <c r="L150" t="inlineStr">
        <is>
          <t>No longer allocated; replaced by the SHP-027 tip set (8915N111), whose adapter is verified on the Hakko iron.</t>
        </is>
      </c>
    </row>
    <row r="151">
      <c r="A151" t="inlineStr">
        <is>
          <t>UNU-012</t>
        </is>
      </c>
      <c r="B151" t="inlineStr">
        <is>
          <t>Unused</t>
        </is>
      </c>
      <c r="D151" t="inlineStr">
        <is>
          <t>M2 × 5 mm button head hex-drive screw 18-8 SS</t>
        </is>
      </c>
      <c r="E151" t="inlineStr">
        <is>
          <t>Existing spare stock; former LED board mounting screws, tapped into SM1CP2M cap</t>
        </is>
      </c>
      <c r="F151" t="inlineStr">
        <is>
          <t>McMaster</t>
        </is>
      </c>
      <c r="G151" t="inlineStr">
        <is>
          <t>92095A452</t>
        </is>
      </c>
      <c r="H151" t="n">
        <v>25</v>
      </c>
      <c r="I151" t="inlineStr">
        <is>
          <t>pack</t>
        </is>
      </c>
      <c r="J151" t="inlineStr">
        <is>
          <t>In hand</t>
        </is>
      </c>
      <c r="L151" t="inlineStr">
        <is>
          <t>No longer allocated: 5 mm was a bit short; replaced by LGT-020 (92095A453 M2 × 6 mm).</t>
        </is>
      </c>
    </row>
  </sheetData>
  <autoFilter ref="A1:L151"/>
  <conditionalFormatting sqref="J2:J151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conditionalFormatting sqref="A2:L151">
    <cfRule type="expression" priority="6" dxfId="5">
      <formula>$B2&lt;&gt;$B1</formula>
    </cfRule>
  </conditionalFormatting>
  <dataValidations count="1">
    <dataValidation sqref="J2:J151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2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1" t="inlineStr">
        <is>
          <t>Procurement state</t>
        </is>
      </c>
      <c r="B10" s="1" t="inlineStr">
        <is>
          <t>Entries</t>
        </is>
      </c>
      <c r="D10" s="1" t="inlineStr">
        <is>
          <t>Subsystem</t>
        </is>
      </c>
      <c r="E10" s="1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0">
      <c r="D20" t="inlineStr">
        <is>
          <t>Unused</t>
        </is>
      </c>
      <c r="E20">
        <f>COUNTIF(BOM!B:B,D20)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